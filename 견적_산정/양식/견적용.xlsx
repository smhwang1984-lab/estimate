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mH\orca\workspaces\Estimate\Estimate\견적_산정\양식\"/>
    </mc:Choice>
  </mc:AlternateContent>
  <xr:revisionPtr revIDLastSave="0" documentId="13_ncr:1_{75F69E9C-F8DD-4CB7-9E8E-52AA2C78233D}" xr6:coauthVersionLast="47" xr6:coauthVersionMax="47" xr10:uidLastSave="{00000000-0000-0000-0000-000000000000}"/>
  <bookViews>
    <workbookView xWindow="0" yWindow="0" windowWidth="27360" windowHeight="17520" xr2:uid="{00000000-000D-0000-FFFF-FFFF00000000}"/>
  </bookViews>
  <sheets>
    <sheet name="견적서" sheetId="1" r:id="rId1"/>
    <sheet name="기계" sheetId="2" r:id="rId2"/>
    <sheet name="Sheet1" sheetId="3" r:id="rId3"/>
  </sheets>
  <externalReferences>
    <externalReference r:id="rId4"/>
  </externalReferences>
  <definedNames>
    <definedName name="_xlnm._FilterDatabase" localSheetId="1" hidden="1">기계!$A$6:$W$6</definedName>
    <definedName name="_Order1" hidden="1">255</definedName>
    <definedName name="a">[1]ISA3월!$D$16135</definedName>
    <definedName name="_xlnm.Print_Area" localSheetId="0">견적서!$B$1:$H$57</definedName>
    <definedName name="_xlnm.Print_Area" localSheetId="1">기계!$A$1:$X$19</definedName>
    <definedName name="_xlnm.Print_Titles" localSheetId="0">견적서!$14:$14</definedName>
    <definedName name="_xlnm.Print_Titles" localSheetId="1">기계!$2:$6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</workbook>
</file>

<file path=xl/calcChain.xml><?xml version="1.0" encoding="utf-8"?>
<calcChain xmlns="http://schemas.openxmlformats.org/spreadsheetml/2006/main">
  <c r="G56" i="1" l="1"/>
  <c r="E56" i="1"/>
  <c r="C56" i="1"/>
  <c r="B56" i="1"/>
  <c r="G55" i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G25" i="1"/>
  <c r="E25" i="1"/>
  <c r="C25" i="1"/>
  <c r="B25" i="1"/>
  <c r="G24" i="1"/>
  <c r="E24" i="1"/>
  <c r="C24" i="1"/>
  <c r="B24" i="1"/>
  <c r="G23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B7" i="1"/>
  <c r="X13" i="2"/>
  <c r="G21" i="1" s="1"/>
  <c r="W13" i="2"/>
  <c r="V13" i="2"/>
  <c r="A13" i="2"/>
  <c r="X12" i="2"/>
  <c r="G20" i="1" s="1"/>
  <c r="W12" i="2"/>
  <c r="V12" i="2"/>
  <c r="A12" i="2"/>
  <c r="X11" i="2"/>
  <c r="G19" i="1" s="1"/>
  <c r="W11" i="2"/>
  <c r="V11" i="2"/>
  <c r="A11" i="2"/>
  <c r="X10" i="2"/>
  <c r="G18" i="1" s="1"/>
  <c r="W10" i="2"/>
  <c r="V10" i="2"/>
  <c r="A10" i="2"/>
  <c r="X9" i="2"/>
  <c r="G17" i="1" s="1"/>
  <c r="W9" i="2"/>
  <c r="V9" i="2"/>
  <c r="A9" i="2"/>
  <c r="X8" i="2"/>
  <c r="G16" i="1" s="1"/>
  <c r="W8" i="2"/>
  <c r="V8" i="2"/>
  <c r="A8" i="2"/>
  <c r="X7" i="2"/>
  <c r="X14" i="2" s="1"/>
  <c r="W7" i="2"/>
  <c r="V7" i="2"/>
  <c r="A7" i="2"/>
  <c r="G57" i="1" l="1"/>
  <c r="G22" i="1"/>
  <c r="G15" i="1"/>
</calcChain>
</file>

<file path=xl/sharedStrings.xml><?xml version="1.0" encoding="utf-8"?>
<sst xmlns="http://schemas.openxmlformats.org/spreadsheetml/2006/main" count="45" uniqueCount="45">
  <si>
    <t xml:space="preserve"> 제목 : 견적 제출 건</t>
  </si>
  <si>
    <t xml:space="preserve">        아래와 같이  최종견적 선정합니다.</t>
  </si>
  <si>
    <t>NO</t>
  </si>
  <si>
    <t>기종</t>
  </si>
  <si>
    <t>품번</t>
  </si>
  <si>
    <t>품명</t>
  </si>
  <si>
    <t>Coment</t>
  </si>
  <si>
    <t>가능여부</t>
  </si>
  <si>
    <t>Qty</t>
  </si>
  <si>
    <t>Material</t>
  </si>
  <si>
    <t>Size</t>
  </si>
  <si>
    <t>5축 NC</t>
  </si>
  <si>
    <t>4축</t>
  </si>
  <si>
    <t>3축 NC</t>
  </si>
  <si>
    <t>NC 선반</t>
  </si>
  <si>
    <t>범용</t>
  </si>
  <si>
    <t>사상</t>
  </si>
  <si>
    <t>CMM</t>
  </si>
  <si>
    <t>연삭 or 와이어</t>
  </si>
  <si>
    <t>치구</t>
  </si>
  <si>
    <t>프로그램</t>
  </si>
  <si>
    <t>SUM</t>
  </si>
  <si>
    <t>단가</t>
  </si>
  <si>
    <t>최종단가</t>
  </si>
  <si>
    <t>합계</t>
  </si>
  <si>
    <t>㈜텍스타</t>
  </si>
  <si>
    <t xml:space="preserve">coment : </t>
  </si>
  <si>
    <t>YYYY-MM-DD</t>
  </si>
  <si>
    <t>생산부장 황 성문</t>
  </si>
  <si>
    <t>견  적  서</t>
  </si>
  <si>
    <t>회사명㈜ 귀중</t>
  </si>
  <si>
    <t xml:space="preserve">  담당자 : 대상업체 담당자 직위</t>
  </si>
  <si>
    <t>대표자 : 김종호 대표이사    (인)</t>
  </si>
  <si>
    <t xml:space="preserve">  부   서 : 구매팀 </t>
  </si>
  <si>
    <t>사업자등록번호 : 000-00-00000</t>
  </si>
  <si>
    <t>주소 : 경남 진주시 뿌리산단로 15번길24</t>
  </si>
  <si>
    <t xml:space="preserve">  사업명 : 사업명</t>
  </si>
  <si>
    <t>전화번호 : 055-761-3767</t>
  </si>
  <si>
    <t xml:space="preserve">  아래와 같이 견적합니다.</t>
  </si>
  <si>
    <t>담당자 : 김병환 이사</t>
  </si>
  <si>
    <t>No</t>
  </si>
  <si>
    <t xml:space="preserve"> 품 번</t>
  </si>
  <si>
    <t>품 명</t>
  </si>
  <si>
    <t>견적 단가</t>
  </si>
  <si>
    <t xml:space="preserve"> 합 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</si>
</sst>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-* #,##0.0_-;\-* #,##0.0_-;_-* &quot;-&quot;_-;_-@_-"/>
    <numFmt numFmtId="177" formatCode="&quot;T&quot;\ #,##0.0"/>
    <numFmt numFmtId="178" formatCode="&quot;W &quot;0.0\ "/>
    <numFmt numFmtId="179" formatCode="&quot;L &quot;0.0"/>
    <numFmt numFmtId="180" formatCode="0.00;;"/>
    <numFmt numFmtId="181" formatCode="0.0"/>
    <numFmt numFmtId="182" formatCode="&quot;₩&quot;#,##0_);[Red]\(&quot;₩&quot;#,##0\)"/>
    <numFmt numFmtId="183" formatCode="&quot;제출일자&quot;\ \:\ @\ "/>
  </numFmts>
  <fonts count="35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>
      <alignment vertical="center"/>
    </xf>
    <xf numFmtId="41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" fillId="0" borderId="0"/>
    <xf numFmtId="0" fontId="4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8">
      <alignment vertical="center"/>
    </xf>
    <xf numFmtId="0" fontId="5" fillId="0" borderId="0" xfId="8" applyFont="1">
      <alignment vertical="center"/>
    </xf>
    <xf numFmtId="0" fontId="6" fillId="0" borderId="0" xfId="8" applyFont="1">
      <alignment vertical="center"/>
    </xf>
    <xf numFmtId="0" fontId="7" fillId="0" borderId="0" xfId="8" applyFont="1" applyAlignment="1">
      <alignment horizontal="left"/>
    </xf>
    <xf numFmtId="0" fontId="8" fillId="0" borderId="0" xfId="8" applyFont="1">
      <alignment vertical="center"/>
    </xf>
    <xf numFmtId="41" fontId="8" fillId="0" borderId="0" xfId="1" applyFont="1" applyAlignment="1"/>
    <xf numFmtId="0" fontId="9" fillId="0" borderId="0" xfId="8" applyFont="1" applyAlignment="1">
      <alignment horizontal="left"/>
    </xf>
    <xf numFmtId="0" fontId="10" fillId="0" borderId="0" xfId="8" applyFont="1">
      <alignment vertical="center"/>
    </xf>
    <xf numFmtId="0" fontId="11" fillId="0" borderId="0" xfId="8" applyFont="1" applyAlignment="1">
      <alignment vertical="center" wrapText="1" readingOrder="1"/>
    </xf>
    <xf numFmtId="0" fontId="12" fillId="2" borderId="0" xfId="0" applyFont="1" applyFill="1">
      <alignment vertical="center"/>
    </xf>
    <xf numFmtId="0" fontId="12" fillId="0" borderId="0" xfId="0" applyFont="1">
      <alignment vertical="center"/>
    </xf>
    <xf numFmtId="0" fontId="17" fillId="0" borderId="0" xfId="8" applyFont="1" applyAlignment="1">
      <alignment horizontal="right" vertical="center" wrapText="1"/>
    </xf>
    <xf numFmtId="0" fontId="18" fillId="0" borderId="0" xfId="8" applyFont="1" applyAlignment="1">
      <alignment horizontal="left" vertical="center" wrapText="1"/>
    </xf>
    <xf numFmtId="176" fontId="8" fillId="0" borderId="0" xfId="1" applyNumberFormat="1" applyFont="1">
      <alignment vertical="center"/>
    </xf>
    <xf numFmtId="41" fontId="8" fillId="0" borderId="0" xfId="1" applyFont="1">
      <alignment vertical="center"/>
    </xf>
    <xf numFmtId="41" fontId="8" fillId="0" borderId="0" xfId="8" applyNumberFormat="1" applyFont="1">
      <alignment vertical="center"/>
    </xf>
    <xf numFmtId="0" fontId="16" fillId="0" borderId="0" xfId="8" applyFont="1" applyAlignment="1">
      <alignment vertical="center" wrapText="1"/>
    </xf>
    <xf numFmtId="0" fontId="20" fillId="0" borderId="0" xfId="8" applyFont="1" applyAlignment="1">
      <alignment horizontal="center" vertical="center"/>
    </xf>
    <xf numFmtId="0" fontId="21" fillId="0" borderId="0" xfId="8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11" applyFont="1" applyBorder="1" applyAlignment="1">
      <alignment horizontal="center" vertical="center"/>
    </xf>
    <xf numFmtId="176" fontId="20" fillId="0" borderId="5" xfId="1" applyNumberFormat="1" applyFont="1" applyBorder="1" applyAlignment="1">
      <alignment horizontal="center" vertical="center"/>
    </xf>
    <xf numFmtId="0" fontId="15" fillId="0" borderId="7" xfId="11" applyFont="1" applyBorder="1" applyAlignment="1">
      <alignment horizontal="center" vertical="center"/>
    </xf>
    <xf numFmtId="177" fontId="8" fillId="0" borderId="0" xfId="8" applyNumberFormat="1" applyFont="1">
      <alignment vertical="center"/>
    </xf>
    <xf numFmtId="177" fontId="10" fillId="0" borderId="0" xfId="8" applyNumberFormat="1" applyFont="1">
      <alignment vertical="center"/>
    </xf>
    <xf numFmtId="177" fontId="12" fillId="0" borderId="0" xfId="0" applyNumberFormat="1" applyFont="1">
      <alignment vertical="center"/>
    </xf>
    <xf numFmtId="177" fontId="18" fillId="0" borderId="0" xfId="8" applyNumberFormat="1" applyFont="1" applyAlignment="1">
      <alignment horizontal="left" vertical="center" wrapText="1"/>
    </xf>
    <xf numFmtId="178" fontId="8" fillId="0" borderId="0" xfId="8" applyNumberFormat="1" applyFont="1">
      <alignment vertical="center"/>
    </xf>
    <xf numFmtId="178" fontId="10" fillId="0" borderId="0" xfId="8" applyNumberFormat="1" applyFont="1">
      <alignment vertical="center"/>
    </xf>
    <xf numFmtId="178" fontId="12" fillId="0" borderId="0" xfId="0" applyNumberFormat="1" applyFont="1">
      <alignment vertical="center"/>
    </xf>
    <xf numFmtId="178" fontId="18" fillId="0" borderId="0" xfId="8" applyNumberFormat="1" applyFont="1" applyAlignment="1">
      <alignment horizontal="left" vertical="center" wrapText="1"/>
    </xf>
    <xf numFmtId="179" fontId="8" fillId="0" borderId="0" xfId="8" applyNumberFormat="1" applyFont="1">
      <alignment vertical="center"/>
    </xf>
    <xf numFmtId="179" fontId="10" fillId="0" borderId="0" xfId="8" applyNumberFormat="1" applyFont="1">
      <alignment vertical="center"/>
    </xf>
    <xf numFmtId="179" fontId="12" fillId="0" borderId="0" xfId="0" applyNumberFormat="1" applyFont="1">
      <alignment vertical="center"/>
    </xf>
    <xf numFmtId="179" fontId="18" fillId="0" borderId="0" xfId="8" applyNumberFormat="1" applyFont="1" applyAlignment="1">
      <alignment horizontal="left" vertical="center" wrapText="1"/>
    </xf>
    <xf numFmtId="0" fontId="15" fillId="0" borderId="2" xfId="11" applyFont="1" applyBorder="1" applyAlignment="1">
      <alignment horizontal="center" vertical="center" wrapText="1" shrinkToFit="1"/>
    </xf>
    <xf numFmtId="176" fontId="20" fillId="0" borderId="2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11" applyFont="1" applyBorder="1" applyAlignment="1">
      <alignment horizontal="center" vertical="center"/>
    </xf>
    <xf numFmtId="0" fontId="8" fillId="0" borderId="2" xfId="8" applyFont="1" applyBorder="1">
      <alignment vertical="center"/>
    </xf>
    <xf numFmtId="41" fontId="21" fillId="2" borderId="3" xfId="1" applyFont="1" applyFill="1" applyBorder="1" applyAlignment="1">
      <alignment horizontal="center" vertical="center"/>
    </xf>
    <xf numFmtId="41" fontId="21" fillId="0" borderId="6" xfId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10" xfId="11" applyFont="1" applyFill="1" applyBorder="1" applyAlignment="1">
      <alignment horizontal="center" vertical="center" shrinkToFit="1"/>
    </xf>
    <xf numFmtId="0" fontId="14" fillId="3" borderId="10" xfId="11" applyFont="1" applyFill="1" applyBorder="1" applyAlignment="1">
      <alignment horizontal="center" vertical="center" shrinkToFit="1"/>
    </xf>
    <xf numFmtId="0" fontId="14" fillId="3" borderId="10" xfId="11" applyFont="1" applyFill="1" applyBorder="1" applyAlignment="1">
      <alignment horizontal="center" vertical="center" wrapText="1"/>
    </xf>
    <xf numFmtId="180" fontId="14" fillId="3" borderId="10" xfId="12" applyNumberFormat="1" applyFont="1" applyFill="1" applyBorder="1" applyAlignment="1">
      <alignment horizontal="center" vertical="center"/>
    </xf>
    <xf numFmtId="0" fontId="21" fillId="3" borderId="10" xfId="8" applyFont="1" applyFill="1" applyBorder="1" applyAlignment="1">
      <alignment horizontal="center" vertical="center"/>
    </xf>
    <xf numFmtId="0" fontId="21" fillId="3" borderId="13" xfId="8" applyFont="1" applyFill="1" applyBorder="1" applyAlignment="1">
      <alignment horizontal="center" vertical="center"/>
    </xf>
    <xf numFmtId="41" fontId="23" fillId="2" borderId="8" xfId="1" applyFont="1" applyFill="1" applyBorder="1" applyAlignment="1"/>
    <xf numFmtId="0" fontId="24" fillId="0" borderId="0" xfId="8" applyFont="1" applyAlignment="1">
      <alignment horizontal="centerContinuous" vertical="center"/>
    </xf>
    <xf numFmtId="0" fontId="25" fillId="0" borderId="0" xfId="8" applyFont="1" applyAlignment="1">
      <alignment horizontal="centerContinuous" vertical="center"/>
    </xf>
    <xf numFmtId="0" fontId="26" fillId="0" borderId="0" xfId="8" applyFont="1" applyAlignment="1">
      <alignment horizontal="centerContinuous" vertical="center"/>
    </xf>
    <xf numFmtId="0" fontId="27" fillId="0" borderId="0" xfId="8" applyFont="1" applyAlignment="1">
      <alignment horizontal="centerContinuous" vertical="center"/>
    </xf>
    <xf numFmtId="0" fontId="28" fillId="0" borderId="0" xfId="8" applyFont="1">
      <alignment vertical="center"/>
    </xf>
    <xf numFmtId="0" fontId="29" fillId="0" borderId="0" xfId="8" applyFont="1">
      <alignment vertical="center"/>
    </xf>
    <xf numFmtId="0" fontId="30" fillId="0" borderId="0" xfId="8" applyFont="1">
      <alignment vertical="center"/>
    </xf>
    <xf numFmtId="0" fontId="31" fillId="0" borderId="0" xfId="8" applyFont="1" applyAlignment="1">
      <alignment horizontal="left" vertical="center"/>
    </xf>
    <xf numFmtId="0" fontId="32" fillId="0" borderId="0" xfId="8" applyFont="1">
      <alignment vertical="center"/>
    </xf>
    <xf numFmtId="0" fontId="31" fillId="0" borderId="0" xfId="8" applyFont="1">
      <alignment vertical="center"/>
    </xf>
    <xf numFmtId="0" fontId="33" fillId="0" borderId="0" xfId="8" applyFont="1">
      <alignment vertical="center"/>
    </xf>
    <xf numFmtId="0" fontId="33" fillId="0" borderId="0" xfId="9" applyFont="1">
      <alignment vertical="center"/>
    </xf>
    <xf numFmtId="0" fontId="21" fillId="3" borderId="12" xfId="8" applyFont="1" applyFill="1" applyBorder="1" applyAlignment="1">
      <alignment horizontal="center" vertical="center"/>
    </xf>
    <xf numFmtId="176" fontId="20" fillId="0" borderId="14" xfId="1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horizontal="center" vertical="center"/>
    </xf>
    <xf numFmtId="176" fontId="20" fillId="4" borderId="6" xfId="1" applyNumberFormat="1" applyFont="1" applyFill="1" applyBorder="1" applyAlignment="1">
      <alignment horizontal="center" vertical="center"/>
    </xf>
    <xf numFmtId="176" fontId="20" fillId="0" borderId="3" xfId="1" applyNumberFormat="1" applyFont="1" applyBorder="1" applyAlignment="1">
      <alignment horizontal="center" vertical="center"/>
    </xf>
    <xf numFmtId="0" fontId="15" fillId="0" borderId="5" xfId="11" applyFont="1" applyBorder="1" applyAlignment="1">
      <alignment horizontal="center" vertical="center" wrapText="1" shrinkToFit="1"/>
    </xf>
    <xf numFmtId="181" fontId="15" fillId="0" borderId="5" xfId="11" applyNumberFormat="1" applyFont="1" applyBorder="1" applyAlignment="1">
      <alignment horizontal="left" vertical="center" indent="1" shrinkToFit="1"/>
    </xf>
    <xf numFmtId="181" fontId="15" fillId="0" borderId="2" xfId="11" applyNumberFormat="1" applyFont="1" applyBorder="1" applyAlignment="1">
      <alignment horizontal="left" vertical="center" indent="1" shrinkToFit="1"/>
    </xf>
    <xf numFmtId="0" fontId="15" fillId="0" borderId="2" xfId="11" applyFont="1" applyBorder="1" applyAlignment="1">
      <alignment horizontal="left" vertical="center" indent="1" shrinkToFit="1"/>
    </xf>
    <xf numFmtId="0" fontId="8" fillId="0" borderId="5" xfId="8" applyFont="1" applyBorder="1" applyAlignment="1">
      <alignment horizontal="left" vertical="center" indent="1"/>
    </xf>
    <xf numFmtId="0" fontId="15" fillId="0" borderId="7" xfId="11" applyFont="1" applyBorder="1" applyAlignment="1">
      <alignment horizontal="center" vertical="center" wrapText="1"/>
    </xf>
    <xf numFmtId="0" fontId="6" fillId="0" borderId="19" xfId="8" applyFont="1" applyBorder="1">
      <alignment vertical="center"/>
    </xf>
    <xf numFmtId="0" fontId="6" fillId="0" borderId="17" xfId="8" applyFont="1" applyBorder="1" applyAlignment="1">
      <alignment horizontal="center" vertical="center"/>
    </xf>
    <xf numFmtId="0" fontId="6" fillId="0" borderId="23" xfId="8" applyFont="1" applyBorder="1" applyAlignment="1">
      <alignment horizontal="center" vertical="center"/>
    </xf>
    <xf numFmtId="0" fontId="19" fillId="0" borderId="0" xfId="8" applyFont="1" applyAlignment="1">
      <alignment horizontal="left"/>
    </xf>
    <xf numFmtId="0" fontId="34" fillId="0" borderId="0" xfId="8" applyFont="1" applyAlignment="1">
      <alignment horizontal="left" vertical="center" wrapText="1" indent="1"/>
    </xf>
    <xf numFmtId="0" fontId="0" fillId="0" borderId="0" xfId="0" applyAlignment="1"/>
    <xf numFmtId="0" fontId="8" fillId="0" borderId="0" xfId="1" applyNumberFormat="1" applyFont="1" applyAlignment="1"/>
    <xf numFmtId="0" fontId="19" fillId="0" borderId="0" xfId="8" applyFont="1" applyAlignment="1">
      <alignment horizontal="left"/>
    </xf>
    <xf numFmtId="0" fontId="0" fillId="0" borderId="0" xfId="0">
      <alignment vertical="center"/>
    </xf>
    <xf numFmtId="0" fontId="0" fillId="0" borderId="0" xfId="0" applyAlignment="1"/>
    <xf numFmtId="0" fontId="8" fillId="0" borderId="0" xfId="8" applyFont="1">
      <alignment vertical="center"/>
    </xf>
    <xf numFmtId="0" fontId="34" fillId="0" borderId="0" xfId="8" applyFont="1" applyAlignment="1">
      <alignment horizontal="left" vertical="center" wrapText="1" indent="1"/>
    </xf>
    <xf numFmtId="177" fontId="8" fillId="0" borderId="0" xfId="8" applyNumberFormat="1" applyFont="1">
      <alignment vertical="center"/>
    </xf>
    <xf numFmtId="178" fontId="8" fillId="0" borderId="0" xfId="8" applyNumberFormat="1" applyFont="1">
      <alignment vertical="center"/>
    </xf>
    <xf numFmtId="179" fontId="8" fillId="0" borderId="0" xfId="8" applyNumberFormat="1" applyFont="1">
      <alignment vertical="center"/>
    </xf>
    <xf numFmtId="14" fontId="19" fillId="0" borderId="0" xfId="8" applyNumberFormat="1" applyFont="1" applyAlignment="1">
      <alignment horizontal="left"/>
    </xf>
    <xf numFmtId="0" fontId="13" fillId="3" borderId="10" xfId="11" applyFont="1" applyFill="1" applyBorder="1" applyAlignment="1">
      <alignment horizontal="center" vertical="center" shrinkToFit="1"/>
    </xf>
    <xf numFmtId="0" fontId="0" fillId="0" borderId="11" xfId="0" applyBorder="1" applyAlignment="1"/>
    <xf numFmtId="0" fontId="0" fillId="0" borderId="12" xfId="0" applyBorder="1" applyAlignment="1"/>
    <xf numFmtId="182" fontId="6" fillId="0" borderId="18" xfId="8" applyNumberFormat="1" applyFont="1" applyBorder="1" applyAlignment="1">
      <alignment horizontal="right" vertical="center" indent="1"/>
    </xf>
    <xf numFmtId="0" fontId="0" fillId="0" borderId="30" xfId="0" applyBorder="1" applyAlignment="1"/>
    <xf numFmtId="0" fontId="6" fillId="0" borderId="31" xfId="8" applyFont="1" applyBorder="1" applyAlignment="1">
      <alignment horizontal="left" vertical="center" indent="1"/>
    </xf>
    <xf numFmtId="0" fontId="0" fillId="0" borderId="22" xfId="0" applyBorder="1" applyAlignment="1"/>
    <xf numFmtId="0" fontId="6" fillId="0" borderId="33" xfId="8" applyFont="1" applyBorder="1" applyAlignment="1">
      <alignment horizontal="left" vertical="center" indent="1"/>
    </xf>
    <xf numFmtId="0" fontId="0" fillId="0" borderId="27" xfId="0" applyBorder="1" applyAlignment="1"/>
    <xf numFmtId="0" fontId="0" fillId="0" borderId="28" xfId="0" applyBorder="1" applyAlignment="1"/>
    <xf numFmtId="0" fontId="6" fillId="0" borderId="16" xfId="8" applyFont="1" applyBorder="1" applyAlignment="1">
      <alignment horizontal="left" vertical="center" indent="1"/>
    </xf>
    <xf numFmtId="0" fontId="0" fillId="0" borderId="21" xfId="0" applyBorder="1" applyAlignment="1"/>
    <xf numFmtId="182" fontId="6" fillId="0" borderId="29" xfId="8" applyNumberFormat="1" applyFont="1" applyBorder="1" applyAlignment="1">
      <alignment horizontal="right" vertical="center" indent="1"/>
    </xf>
    <xf numFmtId="0" fontId="6" fillId="0" borderId="25" xfId="8" applyFont="1" applyBorder="1" applyAlignment="1">
      <alignment horizontal="left" vertical="center" indent="1"/>
    </xf>
    <xf numFmtId="0" fontId="0" fillId="0" borderId="24" xfId="0" applyBorder="1" applyAlignment="1"/>
    <xf numFmtId="0" fontId="33" fillId="0" borderId="0" xfId="8" applyFont="1" applyAlignment="1">
      <alignment horizontal="left" vertical="center"/>
    </xf>
    <xf numFmtId="0" fontId="1" fillId="0" borderId="0" xfId="8">
      <alignment vertical="center"/>
    </xf>
    <xf numFmtId="0" fontId="6" fillId="0" borderId="20" xfId="8" applyFont="1" applyBorder="1" applyAlignment="1">
      <alignment horizontal="center" vertical="center"/>
    </xf>
    <xf numFmtId="0" fontId="0" fillId="0" borderId="32" xfId="0" applyBorder="1" applyAlignment="1"/>
    <xf numFmtId="0" fontId="33" fillId="0" borderId="0" xfId="8" applyFont="1">
      <alignment vertical="center"/>
    </xf>
    <xf numFmtId="183" fontId="33" fillId="0" borderId="0" xfId="8" applyNumberFormat="1" applyFont="1">
      <alignment vertical="center"/>
    </xf>
    <xf numFmtId="0" fontId="6" fillId="0" borderId="18" xfId="8" applyFont="1" applyBorder="1" applyAlignment="1">
      <alignment horizontal="left" vertical="center" indent="1"/>
    </xf>
    <xf numFmtId="0" fontId="6" fillId="0" borderId="29" xfId="8" applyFont="1" applyBorder="1" applyAlignment="1">
      <alignment horizontal="left" vertical="center" indent="1"/>
    </xf>
    <xf numFmtId="182" fontId="6" fillId="0" borderId="26" xfId="8" applyNumberFormat="1" applyFont="1" applyBorder="1" applyAlignment="1">
      <alignment horizontal="right" vertical="center" indent="1"/>
    </xf>
    <xf numFmtId="177" fontId="10" fillId="0" borderId="34" xfId="8" applyNumberFormat="1" applyFont="1" applyBorder="1" applyAlignment="1">
      <alignment horizontal="center" vertical="center"/>
    </xf>
    <xf numFmtId="177" fontId="10" fillId="0" borderId="35" xfId="8" applyNumberFormat="1" applyFont="1" applyBorder="1" applyAlignment="1">
      <alignment horizontal="center" vertical="center"/>
    </xf>
    <xf numFmtId="177" fontId="10" fillId="0" borderId="36" xfId="8" applyNumberFormat="1" applyFont="1" applyBorder="1" applyAlignment="1">
      <alignment horizontal="center" vertical="center"/>
    </xf>
    <xf numFmtId="177" fontId="12" fillId="0" borderId="37" xfId="11" applyNumberFormat="1" applyFont="1" applyBorder="1" applyAlignment="1">
      <alignment horizontal="center" vertical="center"/>
    </xf>
    <xf numFmtId="177" fontId="12" fillId="0" borderId="38" xfId="11" applyNumberFormat="1" applyFont="1" applyBorder="1" applyAlignment="1">
      <alignment horizontal="center" vertical="center"/>
    </xf>
    <xf numFmtId="177" fontId="12" fillId="0" borderId="15" xfId="11" applyNumberFormat="1" applyFont="1" applyBorder="1" applyAlignment="1">
      <alignment horizontal="center" vertical="center"/>
    </xf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</cellXfs>
  <cellStyles count="13">
    <cellStyle name="쉼표 [0] 2" xfId="1" xr:uid="{00000000-0005-0000-0000-000001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83"/>
  <sheetViews>
    <sheetView tabSelected="1" workbookViewId="0">
      <selection activeCell="A14" sqref="A14:XFD14"/>
    </sheetView>
  </sheetViews>
  <sheetFormatPr defaultColWidth="9" defaultRowHeight="13.5" customHeight="1"/>
  <cols>
    <col min="1" max="1" width="1.83203125" style="1" customWidth="1"/>
    <col min="2" max="2" width="5.33203125" style="1" customWidth="1"/>
    <col min="3" max="3" width="16.25" style="1" bestFit="1" customWidth="1"/>
    <col min="4" max="4" width="12.83203125" style="1" customWidth="1"/>
    <col min="5" max="8" width="14" style="1" customWidth="1"/>
    <col min="9" max="9" width="9" style="1" customWidth="1"/>
    <col min="10" max="16384" width="9" style="1"/>
  </cols>
  <sheetData>
    <row r="1" spans="2:8" ht="35.25" customHeight="1">
      <c r="B1" s="51" t="s">
        <v>29</v>
      </c>
      <c r="C1" s="52"/>
      <c r="D1" s="52"/>
      <c r="E1" s="52"/>
      <c r="F1" s="52"/>
      <c r="G1" s="52"/>
      <c r="H1" s="52"/>
    </row>
    <row r="2" spans="2:8" ht="27" customHeight="1">
      <c r="B2" s="53"/>
      <c r="C2" s="54"/>
      <c r="D2" s="54"/>
      <c r="E2" s="54"/>
      <c r="F2" s="54"/>
      <c r="G2" s="54"/>
      <c r="H2" s="54"/>
    </row>
    <row r="3" spans="2:8" ht="14">
      <c r="B3" s="55"/>
      <c r="C3" s="55"/>
      <c r="D3" s="55"/>
      <c r="E3" s="55"/>
      <c r="F3" s="56"/>
      <c r="G3" s="57"/>
      <c r="H3" s="57"/>
    </row>
    <row r="4" spans="2:8" ht="40" customHeight="1">
      <c r="B4" s="58" t="s">
        <v>30</v>
      </c>
      <c r="C4" s="59"/>
      <c r="D4" s="59"/>
      <c r="E4" s="59"/>
      <c r="F4" s="60"/>
      <c r="G4" s="60"/>
      <c r="H4" s="60"/>
    </row>
    <row r="5" spans="2:8" ht="21" customHeight="1">
      <c r="B5" s="109" t="s">
        <v>31</v>
      </c>
      <c r="C5" s="106"/>
      <c r="D5" s="106"/>
      <c r="E5" s="106"/>
      <c r="F5" s="61" t="s">
        <v>32</v>
      </c>
      <c r="G5" s="61"/>
      <c r="H5" s="61"/>
    </row>
    <row r="6" spans="2:8" ht="24.75" customHeight="1">
      <c r="B6" s="109" t="s">
        <v>33</v>
      </c>
      <c r="C6" s="106"/>
      <c r="D6" s="106"/>
      <c r="E6" s="106"/>
      <c r="F6" s="61" t="s">
        <v>34</v>
      </c>
      <c r="G6" s="61"/>
      <c r="H6" s="61"/>
    </row>
    <row r="7" spans="2:8" ht="24.75" customHeight="1">
      <c r="B7" s="110" t="str">
        <f>기계!Q18</f>
        <v>YYYY-MM-DD</v>
      </c>
      <c r="C7" s="106"/>
      <c r="D7" s="106"/>
      <c r="E7" s="106"/>
      <c r="F7" s="105" t="s">
        <v>35</v>
      </c>
      <c r="G7" s="106"/>
      <c r="H7" s="106"/>
    </row>
    <row r="8" spans="2:8" ht="24.75" customHeight="1">
      <c r="B8" s="62" t="s">
        <v>36</v>
      </c>
      <c r="C8" s="61"/>
      <c r="D8" s="61"/>
      <c r="E8" s="61"/>
      <c r="F8" s="61" t="s">
        <v>37</v>
      </c>
      <c r="G8" s="61"/>
      <c r="H8" s="61"/>
    </row>
    <row r="9" spans="2:8" ht="24.75" customHeight="1">
      <c r="B9" s="61" t="s">
        <v>38</v>
      </c>
      <c r="C9" s="61"/>
      <c r="D9" s="61"/>
      <c r="E9" s="61"/>
      <c r="F9" s="61" t="s">
        <v>39</v>
      </c>
      <c r="G9" s="61"/>
      <c r="H9" s="61"/>
    </row>
    <row r="10" spans="2:8" ht="24.75" customHeight="1">
      <c r="B10" s="3"/>
      <c r="C10" s="3"/>
      <c r="D10" s="3"/>
      <c r="E10" s="3"/>
      <c r="F10" s="2"/>
      <c r="G10" s="3"/>
      <c r="H10" s="3"/>
    </row>
    <row r="11" spans="2:8" ht="24.75" customHeight="1">
      <c r="B11" s="3"/>
      <c r="C11" s="3"/>
      <c r="D11" s="3"/>
      <c r="E11" s="3"/>
      <c r="F11" s="2"/>
      <c r="G11" s="3"/>
      <c r="H11" s="3"/>
    </row>
    <row r="12" spans="2:8" ht="24.75" customHeight="1">
      <c r="B12" s="3"/>
      <c r="C12" s="3"/>
      <c r="D12" s="3"/>
      <c r="E12" s="3"/>
      <c r="F12" s="2"/>
      <c r="G12" s="3"/>
      <c r="H12" s="3"/>
    </row>
    <row r="13" spans="2:8" ht="26.25" customHeight="1" thickBot="1">
      <c r="B13" s="3"/>
      <c r="C13" s="3"/>
      <c r="D13" s="3"/>
      <c r="E13" s="3"/>
      <c r="F13" s="2"/>
      <c r="G13" s="3"/>
      <c r="H13" s="3"/>
    </row>
    <row r="14" spans="2:8" ht="24.75" customHeight="1" thickBot="1">
      <c r="B14" s="74" t="s">
        <v>40</v>
      </c>
      <c r="C14" s="107" t="s">
        <v>41</v>
      </c>
      <c r="D14" s="108"/>
      <c r="E14" s="107" t="s">
        <v>42</v>
      </c>
      <c r="F14" s="108"/>
      <c r="G14" s="107" t="s">
        <v>43</v>
      </c>
      <c r="H14" s="120"/>
    </row>
    <row r="15" spans="2:8" ht="24.75" customHeight="1" thickTop="1">
      <c r="B15" s="75">
        <f t="shared" ref="B15:B56" si="0">ROW()-14</f>
        <v>1</v>
      </c>
      <c r="C15" s="95">
        <f>기계!$C7</f>
        <v>0</v>
      </c>
      <c r="D15" s="96"/>
      <c r="E15" s="111">
        <f>기계!$D7</f>
        <v>0</v>
      </c>
      <c r="F15" s="94"/>
      <c r="G15" s="93">
        <f>기계!$X7</f>
        <v>0</v>
      </c>
      <c r="H15" s="121"/>
    </row>
    <row r="16" spans="2:8" ht="24.75" customHeight="1">
      <c r="B16" s="75">
        <f t="shared" si="0"/>
        <v>2</v>
      </c>
      <c r="C16" s="100">
        <f>기계!$C8</f>
        <v>0</v>
      </c>
      <c r="D16" s="101"/>
      <c r="E16" s="100">
        <f>기계!$D8</f>
        <v>0</v>
      </c>
      <c r="F16" s="101"/>
      <c r="G16" s="93">
        <f>기계!$X8</f>
        <v>0</v>
      </c>
      <c r="H16" s="121"/>
    </row>
    <row r="17" spans="2:8" ht="24.75" customHeight="1">
      <c r="B17" s="75">
        <f t="shared" si="0"/>
        <v>3</v>
      </c>
      <c r="C17" s="100">
        <f>기계!$C9</f>
        <v>0</v>
      </c>
      <c r="D17" s="101"/>
      <c r="E17" s="100">
        <f>기계!$D9</f>
        <v>0</v>
      </c>
      <c r="F17" s="101"/>
      <c r="G17" s="93">
        <f>기계!$X9</f>
        <v>0</v>
      </c>
      <c r="H17" s="121"/>
    </row>
    <row r="18" spans="2:8" ht="24.75" customHeight="1">
      <c r="B18" s="75">
        <f t="shared" si="0"/>
        <v>4</v>
      </c>
      <c r="C18" s="100">
        <f>기계!$C10</f>
        <v>0</v>
      </c>
      <c r="D18" s="101"/>
      <c r="E18" s="100">
        <f>기계!$D10</f>
        <v>0</v>
      </c>
      <c r="F18" s="101"/>
      <c r="G18" s="93">
        <f>기계!$X10</f>
        <v>0</v>
      </c>
      <c r="H18" s="121"/>
    </row>
    <row r="19" spans="2:8" ht="24.75" customHeight="1">
      <c r="B19" s="75">
        <f t="shared" si="0"/>
        <v>5</v>
      </c>
      <c r="C19" s="100">
        <f>기계!$C11</f>
        <v>0</v>
      </c>
      <c r="D19" s="101"/>
      <c r="E19" s="100">
        <f>기계!$D11</f>
        <v>0</v>
      </c>
      <c r="F19" s="101"/>
      <c r="G19" s="93">
        <f>기계!$X11</f>
        <v>0</v>
      </c>
      <c r="H19" s="121"/>
    </row>
    <row r="20" spans="2:8" ht="24.75" customHeight="1">
      <c r="B20" s="75">
        <f t="shared" si="0"/>
        <v>6</v>
      </c>
      <c r="C20" s="100">
        <f>기계!$C12</f>
        <v>0</v>
      </c>
      <c r="D20" s="101"/>
      <c r="E20" s="100">
        <f>기계!$D12</f>
        <v>0</v>
      </c>
      <c r="F20" s="101"/>
      <c r="G20" s="93">
        <f>기계!$X12</f>
        <v>0</v>
      </c>
      <c r="H20" s="121"/>
    </row>
    <row r="21" spans="2:8" ht="24.75" customHeight="1">
      <c r="B21" s="75">
        <f t="shared" si="0"/>
        <v>7</v>
      </c>
      <c r="C21" s="100">
        <f>기계!$C13</f>
        <v>0</v>
      </c>
      <c r="D21" s="101"/>
      <c r="E21" s="100">
        <f>기계!$D13</f>
        <v>0</v>
      </c>
      <c r="F21" s="101"/>
      <c r="G21" s="93">
        <f>기계!$X13</f>
        <v>0</v>
      </c>
      <c r="H21" s="121"/>
    </row>
    <row r="22" spans="2:8" ht="24.75" hidden="1" customHeight="1">
      <c r="B22" s="75">
        <f t="shared" si="0"/>
        <v>8</v>
      </c>
      <c r="C22" s="100">
        <f>기계!$C14</f>
        <v>0</v>
      </c>
      <c r="D22" s="101"/>
      <c r="E22" s="100">
        <f>기계!$D14</f>
        <v>0</v>
      </c>
      <c r="F22" s="101"/>
      <c r="G22" s="93">
        <f>기계!$X14</f>
        <v>0</v>
      </c>
      <c r="H22" s="121"/>
    </row>
    <row r="23" spans="2:8" ht="24.75" hidden="1" customHeight="1">
      <c r="B23" s="75">
        <f t="shared" si="0"/>
        <v>9</v>
      </c>
      <c r="C23" s="100">
        <f>기계!$C15</f>
        <v>0</v>
      </c>
      <c r="D23" s="101"/>
      <c r="E23" s="100">
        <f>기계!$D15</f>
        <v>0</v>
      </c>
      <c r="F23" s="101"/>
      <c r="G23" s="93">
        <f>기계!$X15</f>
        <v>0</v>
      </c>
      <c r="H23" s="121"/>
    </row>
    <row r="24" spans="2:8" ht="24.75" hidden="1" customHeight="1">
      <c r="B24" s="75">
        <f t="shared" si="0"/>
        <v>10</v>
      </c>
      <c r="C24" s="100">
        <f>기계!$C16</f>
        <v>0</v>
      </c>
      <c r="D24" s="101"/>
      <c r="E24" s="100">
        <f>기계!$D16</f>
        <v>0</v>
      </c>
      <c r="F24" s="101"/>
      <c r="G24" s="93">
        <f>기계!$X16</f>
        <v>0</v>
      </c>
      <c r="H24" s="121"/>
    </row>
    <row r="25" spans="2:8" ht="24.75" hidden="1" customHeight="1">
      <c r="B25" s="75">
        <f t="shared" si="0"/>
        <v>11</v>
      </c>
      <c r="C25" s="100">
        <f>기계!$C17</f>
        <v>0</v>
      </c>
      <c r="D25" s="101"/>
      <c r="E25" s="100">
        <f>기계!$D17</f>
        <v>0</v>
      </c>
      <c r="F25" s="101"/>
      <c r="G25" s="93">
        <f>기계!$X17</f>
        <v>0</v>
      </c>
      <c r="H25" s="121"/>
    </row>
    <row r="26" spans="2:8" ht="24.75" hidden="1" customHeight="1">
      <c r="B26" s="75">
        <f t="shared" si="0"/>
        <v>12</v>
      </c>
      <c r="C26" s="100">
        <f>기계!$C18</f>
        <v>0</v>
      </c>
      <c r="D26" s="101"/>
      <c r="E26" s="100" t="str">
        <f>기계!$D18</f>
        <v xml:space="preserve">coment : </v>
      </c>
      <c r="F26" s="101"/>
      <c r="G26" s="93">
        <f>기계!$X18</f>
        <v>0</v>
      </c>
      <c r="H26" s="121"/>
    </row>
    <row r="27" spans="2:8" ht="24.75" hidden="1" customHeight="1">
      <c r="B27" s="75">
        <f t="shared" si="0"/>
        <v>13</v>
      </c>
      <c r="C27" s="100">
        <f>기계!$C19</f>
        <v>0</v>
      </c>
      <c r="D27" s="101"/>
      <c r="E27" s="100">
        <f>기계!$D19</f>
        <v>0</v>
      </c>
      <c r="F27" s="101"/>
      <c r="G27" s="93">
        <f>기계!$X19</f>
        <v>0</v>
      </c>
      <c r="H27" s="121"/>
    </row>
    <row r="28" spans="2:8" ht="24.75" hidden="1" customHeight="1">
      <c r="B28" s="75">
        <f t="shared" si="0"/>
        <v>14</v>
      </c>
      <c r="C28" s="100">
        <f>기계!$C20</f>
        <v>0</v>
      </c>
      <c r="D28" s="101"/>
      <c r="E28" s="100">
        <f>기계!$D20</f>
        <v>0</v>
      </c>
      <c r="F28" s="101"/>
      <c r="G28" s="93">
        <f>기계!$X20</f>
        <v>0</v>
      </c>
      <c r="H28" s="121"/>
    </row>
    <row r="29" spans="2:8" ht="24.75" hidden="1" customHeight="1">
      <c r="B29" s="75">
        <f t="shared" si="0"/>
        <v>15</v>
      </c>
      <c r="C29" s="100">
        <f>기계!$C21</f>
        <v>0</v>
      </c>
      <c r="D29" s="101"/>
      <c r="E29" s="100">
        <f>기계!$D21</f>
        <v>0</v>
      </c>
      <c r="F29" s="101"/>
      <c r="G29" s="93">
        <f>기계!$X21</f>
        <v>0</v>
      </c>
      <c r="H29" s="121"/>
    </row>
    <row r="30" spans="2:8" ht="24.75" hidden="1" customHeight="1">
      <c r="B30" s="75">
        <f t="shared" si="0"/>
        <v>16</v>
      </c>
      <c r="C30" s="100">
        <f>기계!$C22</f>
        <v>0</v>
      </c>
      <c r="D30" s="101"/>
      <c r="E30" s="100">
        <f>기계!$D22</f>
        <v>0</v>
      </c>
      <c r="F30" s="101"/>
      <c r="G30" s="93">
        <f>기계!$X22</f>
        <v>0</v>
      </c>
      <c r="H30" s="121"/>
    </row>
    <row r="31" spans="2:8" ht="24.75" hidden="1" customHeight="1">
      <c r="B31" s="75">
        <f t="shared" si="0"/>
        <v>17</v>
      </c>
      <c r="C31" s="100">
        <f>기계!$C23</f>
        <v>0</v>
      </c>
      <c r="D31" s="101"/>
      <c r="E31" s="100">
        <f>기계!$D23</f>
        <v>0</v>
      </c>
      <c r="F31" s="101"/>
      <c r="G31" s="93">
        <f>기계!$X23</f>
        <v>0</v>
      </c>
      <c r="H31" s="121"/>
    </row>
    <row r="32" spans="2:8" ht="24.75" hidden="1" customHeight="1">
      <c r="B32" s="75">
        <f t="shared" si="0"/>
        <v>18</v>
      </c>
      <c r="C32" s="100">
        <f>기계!$C24</f>
        <v>0</v>
      </c>
      <c r="D32" s="101"/>
      <c r="E32" s="100">
        <f>기계!$D24</f>
        <v>0</v>
      </c>
      <c r="F32" s="101"/>
      <c r="G32" s="93">
        <f>기계!$X24</f>
        <v>0</v>
      </c>
      <c r="H32" s="121"/>
    </row>
    <row r="33" spans="2:8" ht="24.75" hidden="1" customHeight="1">
      <c r="B33" s="75">
        <f t="shared" si="0"/>
        <v>19</v>
      </c>
      <c r="C33" s="100">
        <f>기계!$C25</f>
        <v>0</v>
      </c>
      <c r="D33" s="101"/>
      <c r="E33" s="100">
        <f>기계!$D25</f>
        <v>0</v>
      </c>
      <c r="F33" s="101"/>
      <c r="G33" s="93">
        <f>기계!$X25</f>
        <v>0</v>
      </c>
      <c r="H33" s="121"/>
    </row>
    <row r="34" spans="2:8" ht="24.75" hidden="1" customHeight="1">
      <c r="B34" s="75">
        <f t="shared" si="0"/>
        <v>20</v>
      </c>
      <c r="C34" s="100">
        <f>기계!$C26</f>
        <v>0</v>
      </c>
      <c r="D34" s="101"/>
      <c r="E34" s="100">
        <f>기계!$D26</f>
        <v>0</v>
      </c>
      <c r="F34" s="101"/>
      <c r="G34" s="93">
        <f>기계!$X26</f>
        <v>0</v>
      </c>
      <c r="H34" s="121"/>
    </row>
    <row r="35" spans="2:8" ht="24.75" hidden="1" customHeight="1">
      <c r="B35" s="75">
        <f t="shared" si="0"/>
        <v>21</v>
      </c>
      <c r="C35" s="100">
        <f>기계!$C27</f>
        <v>0</v>
      </c>
      <c r="D35" s="101"/>
      <c r="E35" s="100">
        <f>기계!$D27</f>
        <v>0</v>
      </c>
      <c r="F35" s="101"/>
      <c r="G35" s="93">
        <f>기계!$X27</f>
        <v>0</v>
      </c>
      <c r="H35" s="121"/>
    </row>
    <row r="36" spans="2:8" ht="24.75" hidden="1" customHeight="1">
      <c r="B36" s="75">
        <f t="shared" si="0"/>
        <v>22</v>
      </c>
      <c r="C36" s="100">
        <f>기계!$C28</f>
        <v>0</v>
      </c>
      <c r="D36" s="101"/>
      <c r="E36" s="100">
        <f>기계!$D28</f>
        <v>0</v>
      </c>
      <c r="F36" s="101"/>
      <c r="G36" s="93">
        <f>기계!$X28</f>
        <v>0</v>
      </c>
      <c r="H36" s="121"/>
    </row>
    <row r="37" spans="2:8" ht="24.75" hidden="1" customHeight="1">
      <c r="B37" s="75">
        <f t="shared" si="0"/>
        <v>23</v>
      </c>
      <c r="C37" s="100">
        <f>기계!$C29</f>
        <v>0</v>
      </c>
      <c r="D37" s="101"/>
      <c r="E37" s="100">
        <f>기계!$D29</f>
        <v>0</v>
      </c>
      <c r="F37" s="101"/>
      <c r="G37" s="93">
        <f>기계!$X29</f>
        <v>0</v>
      </c>
      <c r="H37" s="121"/>
    </row>
    <row r="38" spans="2:8" ht="24.75" hidden="1" customHeight="1">
      <c r="B38" s="75">
        <f t="shared" si="0"/>
        <v>24</v>
      </c>
      <c r="C38" s="100">
        <f>기계!$C30</f>
        <v>0</v>
      </c>
      <c r="D38" s="101"/>
      <c r="E38" s="100">
        <f>기계!$D30</f>
        <v>0</v>
      </c>
      <c r="F38" s="101"/>
      <c r="G38" s="93">
        <f>기계!$X30</f>
        <v>0</v>
      </c>
      <c r="H38" s="121"/>
    </row>
    <row r="39" spans="2:8" ht="24.75" hidden="1" customHeight="1">
      <c r="B39" s="75">
        <f t="shared" si="0"/>
        <v>25</v>
      </c>
      <c r="C39" s="100">
        <f>기계!$C31</f>
        <v>0</v>
      </c>
      <c r="D39" s="101"/>
      <c r="E39" s="100">
        <f>기계!$D31</f>
        <v>0</v>
      </c>
      <c r="F39" s="101"/>
      <c r="G39" s="93">
        <f>기계!$X31</f>
        <v>0</v>
      </c>
      <c r="H39" s="121"/>
    </row>
    <row r="40" spans="2:8" ht="24.75" hidden="1" customHeight="1">
      <c r="B40" s="75">
        <f t="shared" si="0"/>
        <v>26</v>
      </c>
      <c r="C40" s="100">
        <f>기계!$C32</f>
        <v>0</v>
      </c>
      <c r="D40" s="101"/>
      <c r="E40" s="100">
        <f>기계!$D32</f>
        <v>0</v>
      </c>
      <c r="F40" s="101"/>
      <c r="G40" s="93">
        <f>기계!$X32</f>
        <v>0</v>
      </c>
      <c r="H40" s="121"/>
    </row>
    <row r="41" spans="2:8" ht="24.75" hidden="1" customHeight="1">
      <c r="B41" s="75">
        <f t="shared" si="0"/>
        <v>27</v>
      </c>
      <c r="C41" s="100">
        <f>기계!$C33</f>
        <v>0</v>
      </c>
      <c r="D41" s="101"/>
      <c r="E41" s="100">
        <f>기계!$D33</f>
        <v>0</v>
      </c>
      <c r="F41" s="101"/>
      <c r="G41" s="93">
        <f>기계!$X33</f>
        <v>0</v>
      </c>
      <c r="H41" s="121"/>
    </row>
    <row r="42" spans="2:8" ht="24.75" hidden="1" customHeight="1">
      <c r="B42" s="75">
        <f t="shared" si="0"/>
        <v>28</v>
      </c>
      <c r="C42" s="100">
        <f>기계!$C34</f>
        <v>0</v>
      </c>
      <c r="D42" s="101"/>
      <c r="E42" s="100">
        <f>기계!$D34</f>
        <v>0</v>
      </c>
      <c r="F42" s="101"/>
      <c r="G42" s="93">
        <f>기계!$X34</f>
        <v>0</v>
      </c>
      <c r="H42" s="121"/>
    </row>
    <row r="43" spans="2:8" ht="24.75" hidden="1" customHeight="1">
      <c r="B43" s="75">
        <f t="shared" si="0"/>
        <v>29</v>
      </c>
      <c r="C43" s="100">
        <f>기계!$C35</f>
        <v>0</v>
      </c>
      <c r="D43" s="101"/>
      <c r="E43" s="100">
        <f>기계!$D35</f>
        <v>0</v>
      </c>
      <c r="F43" s="101"/>
      <c r="G43" s="93">
        <f>기계!$X35</f>
        <v>0</v>
      </c>
      <c r="H43" s="121"/>
    </row>
    <row r="44" spans="2:8" ht="24.75" hidden="1" customHeight="1">
      <c r="B44" s="75">
        <f t="shared" si="0"/>
        <v>30</v>
      </c>
      <c r="C44" s="100">
        <f>기계!$C36</f>
        <v>0</v>
      </c>
      <c r="D44" s="101"/>
      <c r="E44" s="100">
        <f>기계!$D36</f>
        <v>0</v>
      </c>
      <c r="F44" s="101"/>
      <c r="G44" s="93">
        <f>기계!$X36</f>
        <v>0</v>
      </c>
      <c r="H44" s="121"/>
    </row>
    <row r="45" spans="2:8" ht="24.75" hidden="1" customHeight="1">
      <c r="B45" s="75">
        <f t="shared" si="0"/>
        <v>31</v>
      </c>
      <c r="C45" s="100">
        <f>기계!$C37</f>
        <v>0</v>
      </c>
      <c r="D45" s="101"/>
      <c r="E45" s="100">
        <f>기계!$D37</f>
        <v>0</v>
      </c>
      <c r="F45" s="101"/>
      <c r="G45" s="93">
        <f>기계!$X37</f>
        <v>0</v>
      </c>
      <c r="H45" s="121"/>
    </row>
    <row r="46" spans="2:8" ht="24.75" hidden="1" customHeight="1">
      <c r="B46" s="75">
        <f t="shared" si="0"/>
        <v>32</v>
      </c>
      <c r="C46" s="100">
        <f>기계!$C38</f>
        <v>0</v>
      </c>
      <c r="D46" s="101"/>
      <c r="E46" s="100">
        <f>기계!$D38</f>
        <v>0</v>
      </c>
      <c r="F46" s="101"/>
      <c r="G46" s="93">
        <f>기계!$X38</f>
        <v>0</v>
      </c>
      <c r="H46" s="121"/>
    </row>
    <row r="47" spans="2:8" ht="24.75" hidden="1" customHeight="1">
      <c r="B47" s="75">
        <f t="shared" si="0"/>
        <v>33</v>
      </c>
      <c r="C47" s="100">
        <f>기계!$C39</f>
        <v>0</v>
      </c>
      <c r="D47" s="101"/>
      <c r="E47" s="100">
        <f>기계!$D39</f>
        <v>0</v>
      </c>
      <c r="F47" s="101"/>
      <c r="G47" s="93">
        <f>기계!$X39</f>
        <v>0</v>
      </c>
      <c r="H47" s="121"/>
    </row>
    <row r="48" spans="2:8" ht="24.75" hidden="1" customHeight="1">
      <c r="B48" s="75">
        <f t="shared" si="0"/>
        <v>34</v>
      </c>
      <c r="C48" s="100">
        <f>기계!$C40</f>
        <v>0</v>
      </c>
      <c r="D48" s="101"/>
      <c r="E48" s="100">
        <f>기계!$D40</f>
        <v>0</v>
      </c>
      <c r="F48" s="101"/>
      <c r="G48" s="93">
        <f>기계!$X40</f>
        <v>0</v>
      </c>
      <c r="H48" s="121"/>
    </row>
    <row r="49" spans="2:8" ht="24.75" hidden="1" customHeight="1">
      <c r="B49" s="75">
        <f t="shared" si="0"/>
        <v>35</v>
      </c>
      <c r="C49" s="100">
        <f>기계!$C41</f>
        <v>0</v>
      </c>
      <c r="D49" s="101"/>
      <c r="E49" s="100">
        <f>기계!$D41</f>
        <v>0</v>
      </c>
      <c r="F49" s="101"/>
      <c r="G49" s="93">
        <f>기계!$X41</f>
        <v>0</v>
      </c>
      <c r="H49" s="121"/>
    </row>
    <row r="50" spans="2:8" ht="24.75" hidden="1" customHeight="1">
      <c r="B50" s="75">
        <f t="shared" si="0"/>
        <v>36</v>
      </c>
      <c r="C50" s="100">
        <f>기계!$C42</f>
        <v>0</v>
      </c>
      <c r="D50" s="101"/>
      <c r="E50" s="100">
        <f>기계!$D42</f>
        <v>0</v>
      </c>
      <c r="F50" s="101"/>
      <c r="G50" s="93">
        <f>기계!$X42</f>
        <v>0</v>
      </c>
      <c r="H50" s="121"/>
    </row>
    <row r="51" spans="2:8" ht="24.75" hidden="1" customHeight="1">
      <c r="B51" s="75">
        <f t="shared" si="0"/>
        <v>37</v>
      </c>
      <c r="C51" s="100">
        <f>기계!$C43</f>
        <v>0</v>
      </c>
      <c r="D51" s="101"/>
      <c r="E51" s="100">
        <f>기계!$D43</f>
        <v>0</v>
      </c>
      <c r="F51" s="101"/>
      <c r="G51" s="93">
        <f>기계!$X43</f>
        <v>0</v>
      </c>
      <c r="H51" s="121"/>
    </row>
    <row r="52" spans="2:8" ht="24.75" hidden="1" customHeight="1">
      <c r="B52" s="75">
        <f t="shared" si="0"/>
        <v>38</v>
      </c>
      <c r="C52" s="100">
        <f>기계!$C44</f>
        <v>0</v>
      </c>
      <c r="D52" s="101"/>
      <c r="E52" s="100">
        <f>기계!$D44</f>
        <v>0</v>
      </c>
      <c r="F52" s="101"/>
      <c r="G52" s="93">
        <f>기계!$X44</f>
        <v>0</v>
      </c>
      <c r="H52" s="121"/>
    </row>
    <row r="53" spans="2:8" ht="24.75" hidden="1" customHeight="1">
      <c r="B53" s="75">
        <f t="shared" si="0"/>
        <v>39</v>
      </c>
      <c r="C53" s="100">
        <f>기계!$C45</f>
        <v>0</v>
      </c>
      <c r="D53" s="101"/>
      <c r="E53" s="100">
        <f>기계!$D45</f>
        <v>0</v>
      </c>
      <c r="F53" s="101"/>
      <c r="G53" s="93">
        <f>기계!$X45</f>
        <v>0</v>
      </c>
      <c r="H53" s="121"/>
    </row>
    <row r="54" spans="2:8" ht="24.75" hidden="1" customHeight="1">
      <c r="B54" s="75">
        <f t="shared" si="0"/>
        <v>40</v>
      </c>
      <c r="C54" s="100">
        <f>기계!$C46</f>
        <v>0</v>
      </c>
      <c r="D54" s="101"/>
      <c r="E54" s="100">
        <f>기계!$D46</f>
        <v>0</v>
      </c>
      <c r="F54" s="101"/>
      <c r="G54" s="93">
        <f>기계!$X46</f>
        <v>0</v>
      </c>
      <c r="H54" s="121"/>
    </row>
    <row r="55" spans="2:8" ht="24.75" hidden="1" customHeight="1">
      <c r="B55" s="75">
        <f t="shared" si="0"/>
        <v>41</v>
      </c>
      <c r="C55" s="100">
        <f>기계!$C47</f>
        <v>0</v>
      </c>
      <c r="D55" s="101"/>
      <c r="E55" s="100">
        <f>기계!$D47</f>
        <v>0</v>
      </c>
      <c r="F55" s="101"/>
      <c r="G55" s="93">
        <f>기계!$X47</f>
        <v>0</v>
      </c>
      <c r="H55" s="121"/>
    </row>
    <row r="56" spans="2:8" ht="24.75" hidden="1" customHeight="1">
      <c r="B56" s="76">
        <f t="shared" si="0"/>
        <v>42</v>
      </c>
      <c r="C56" s="103">
        <f>기계!$C48</f>
        <v>0</v>
      </c>
      <c r="D56" s="104"/>
      <c r="E56" s="103">
        <f>기계!$D48</f>
        <v>0</v>
      </c>
      <c r="F56" s="104"/>
      <c r="G56" s="113">
        <f>기계!$X48</f>
        <v>0</v>
      </c>
      <c r="H56" s="122"/>
    </row>
    <row r="57" spans="2:8" ht="24.75" customHeight="1" thickBot="1">
      <c r="B57" s="97" t="s">
        <v>44</v>
      </c>
      <c r="C57" s="98"/>
      <c r="D57" s="99"/>
      <c r="E57" s="112"/>
      <c r="F57" s="99"/>
      <c r="G57" s="102">
        <f>기계!$X14</f>
        <v>0</v>
      </c>
      <c r="H57" s="123"/>
    </row>
    <row r="58" spans="2:8" ht="24.75" customHeight="1"/>
    <row r="59" spans="2:8" ht="24.75" customHeight="1"/>
    <row r="60" spans="2:8" ht="24.75" customHeight="1"/>
    <row r="61" spans="2:8" ht="24.75" customHeight="1"/>
    <row r="62" spans="2:8" ht="24.75" customHeight="1"/>
    <row r="63" spans="2:8" ht="24.75" customHeight="1"/>
    <row r="64" spans="2:8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</sheetData>
  <mergeCells count="136">
    <mergeCell ref="G55:H55"/>
    <mergeCell ref="G29:H29"/>
    <mergeCell ref="G47:H47"/>
    <mergeCell ref="C37:D37"/>
    <mergeCell ref="E37:F37"/>
    <mergeCell ref="G31:H31"/>
    <mergeCell ref="G46:H46"/>
    <mergeCell ref="G40:H40"/>
    <mergeCell ref="E47:F47"/>
    <mergeCell ref="B5:E5"/>
    <mergeCell ref="E17:F17"/>
    <mergeCell ref="C26:D26"/>
    <mergeCell ref="G17:H17"/>
    <mergeCell ref="C35:D35"/>
    <mergeCell ref="E35:F35"/>
    <mergeCell ref="C16:D16"/>
    <mergeCell ref="C25:D25"/>
    <mergeCell ref="E19:F19"/>
    <mergeCell ref="G19:H19"/>
    <mergeCell ref="E28:F28"/>
    <mergeCell ref="G28:H28"/>
    <mergeCell ref="E30:F30"/>
    <mergeCell ref="G30:H30"/>
    <mergeCell ref="G14:H14"/>
    <mergeCell ref="E21:F21"/>
    <mergeCell ref="E57:F57"/>
    <mergeCell ref="G51:H51"/>
    <mergeCell ref="C32:D32"/>
    <mergeCell ref="C38:D38"/>
    <mergeCell ref="E54:F54"/>
    <mergeCell ref="E32:F32"/>
    <mergeCell ref="G54:H54"/>
    <mergeCell ref="G32:H32"/>
    <mergeCell ref="E41:F41"/>
    <mergeCell ref="G41:H41"/>
    <mergeCell ref="G50:H50"/>
    <mergeCell ref="E56:F56"/>
    <mergeCell ref="G56:H56"/>
    <mergeCell ref="C49:D49"/>
    <mergeCell ref="E43:F43"/>
    <mergeCell ref="G43:H43"/>
    <mergeCell ref="G52:H52"/>
    <mergeCell ref="C33:D33"/>
    <mergeCell ref="E33:F33"/>
    <mergeCell ref="C42:D42"/>
    <mergeCell ref="E42:F42"/>
    <mergeCell ref="G36:H36"/>
    <mergeCell ref="C55:D55"/>
    <mergeCell ref="G53:H53"/>
    <mergeCell ref="B6:E6"/>
    <mergeCell ref="E52:F52"/>
    <mergeCell ref="E39:F39"/>
    <mergeCell ref="G39:H39"/>
    <mergeCell ref="E44:F44"/>
    <mergeCell ref="C20:D20"/>
    <mergeCell ref="E20:F20"/>
    <mergeCell ref="C29:D29"/>
    <mergeCell ref="E29:F29"/>
    <mergeCell ref="G37:H37"/>
    <mergeCell ref="B7:E7"/>
    <mergeCell ref="C44:D44"/>
    <mergeCell ref="C22:D22"/>
    <mergeCell ref="C31:D31"/>
    <mergeCell ref="E31:F31"/>
    <mergeCell ref="C46:D46"/>
    <mergeCell ref="C21:D21"/>
    <mergeCell ref="E46:F46"/>
    <mergeCell ref="E15:F15"/>
    <mergeCell ref="C51:D51"/>
    <mergeCell ref="G15:H15"/>
    <mergeCell ref="C48:D48"/>
    <mergeCell ref="C23:D23"/>
    <mergeCell ref="C24:D24"/>
    <mergeCell ref="G16:H16"/>
    <mergeCell ref="E25:F25"/>
    <mergeCell ref="G25:H25"/>
    <mergeCell ref="C18:D18"/>
    <mergeCell ref="C53:D53"/>
    <mergeCell ref="E18:F18"/>
    <mergeCell ref="E50:F50"/>
    <mergeCell ref="C34:D34"/>
    <mergeCell ref="G42:H42"/>
    <mergeCell ref="E24:F24"/>
    <mergeCell ref="G27:H27"/>
    <mergeCell ref="E45:F45"/>
    <mergeCell ref="G45:H45"/>
    <mergeCell ref="C52:D52"/>
    <mergeCell ref="C39:D39"/>
    <mergeCell ref="E53:F53"/>
    <mergeCell ref="G44:H44"/>
    <mergeCell ref="E22:F22"/>
    <mergeCell ref="F7:H7"/>
    <mergeCell ref="G22:H22"/>
    <mergeCell ref="C30:D30"/>
    <mergeCell ref="E55:F55"/>
    <mergeCell ref="C45:D45"/>
    <mergeCell ref="C14:D14"/>
    <mergeCell ref="E14:F14"/>
    <mergeCell ref="E48:F48"/>
    <mergeCell ref="G48:H48"/>
    <mergeCell ref="E38:F38"/>
    <mergeCell ref="C47:D47"/>
    <mergeCell ref="G38:H38"/>
    <mergeCell ref="C40:D40"/>
    <mergeCell ref="E40:F40"/>
    <mergeCell ref="G49:H49"/>
    <mergeCell ref="G24:H24"/>
    <mergeCell ref="G33:H33"/>
    <mergeCell ref="E26:F26"/>
    <mergeCell ref="G26:H26"/>
    <mergeCell ref="G35:H35"/>
    <mergeCell ref="E16:F16"/>
    <mergeCell ref="G21:H21"/>
    <mergeCell ref="C15:D15"/>
    <mergeCell ref="B57:D57"/>
    <mergeCell ref="E23:F23"/>
    <mergeCell ref="G23:H23"/>
    <mergeCell ref="E51:F51"/>
    <mergeCell ref="C54:D54"/>
    <mergeCell ref="C41:D41"/>
    <mergeCell ref="G57:H57"/>
    <mergeCell ref="C50:D50"/>
    <mergeCell ref="G18:H18"/>
    <mergeCell ref="C56:D56"/>
    <mergeCell ref="E34:F34"/>
    <mergeCell ref="C43:D43"/>
    <mergeCell ref="G34:H34"/>
    <mergeCell ref="C27:D27"/>
    <mergeCell ref="E49:F49"/>
    <mergeCell ref="E27:F27"/>
    <mergeCell ref="C36:D36"/>
    <mergeCell ref="E36:F36"/>
    <mergeCell ref="C17:D17"/>
    <mergeCell ref="G20:H20"/>
    <mergeCell ref="C19:D19"/>
    <mergeCell ref="C28:D28"/>
  </mergeCells>
  <phoneticPr fontId="22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9"/>
  <sheetViews>
    <sheetView topLeftCell="A4" zoomScale="85" zoomScaleNormal="85" workbookViewId="0">
      <pane ySplit="3" topLeftCell="A7" activePane="bottomLeft" state="frozen"/>
      <selection activeCell="A4" sqref="A4"/>
      <selection pane="bottomLeft" activeCell="F9" sqref="F9"/>
    </sheetView>
  </sheetViews>
  <sheetFormatPr defaultColWidth="9" defaultRowHeight="17"/>
  <cols>
    <col min="1" max="1" width="6.25" style="5" customWidth="1"/>
    <col min="2" max="2" width="12" style="5" bestFit="1" customWidth="1"/>
    <col min="3" max="3" width="14.33203125" style="5" customWidth="1"/>
    <col min="4" max="4" width="32" style="5" bestFit="1" customWidth="1"/>
    <col min="5" max="5" width="25.33203125" style="5" bestFit="1" customWidth="1"/>
    <col min="6" max="6" width="23.75" style="5" customWidth="1"/>
    <col min="7" max="7" width="4.5" style="5" bestFit="1" customWidth="1"/>
    <col min="8" max="8" width="20.08203125" style="24" bestFit="1" customWidth="1"/>
    <col min="9" max="9" width="7.75" style="28" bestFit="1" customWidth="1"/>
    <col min="10" max="10" width="9.08203125" style="32" bestFit="1" customWidth="1"/>
    <col min="11" max="11" width="8.75" style="5" customWidth="1"/>
    <col min="12" max="12" width="7.75" style="79" customWidth="1"/>
    <col min="13" max="17" width="8.75" style="5" customWidth="1"/>
    <col min="18" max="18" width="8.6640625"/>
    <col min="19" max="19" width="11.08203125" style="79" customWidth="1"/>
    <col min="20" max="20" width="8.6640625"/>
    <col min="21" max="21" width="13.08203125" style="5" customWidth="1"/>
    <col min="22" max="22" width="6.25" style="5" bestFit="1" customWidth="1"/>
    <col min="23" max="23" width="12" style="79" customWidth="1"/>
    <col min="24" max="24" width="9" style="5" customWidth="1"/>
    <col min="25" max="16384" width="9" style="5"/>
  </cols>
  <sheetData>
    <row r="1" spans="1:24" ht="17.25" customHeight="1">
      <c r="A1" s="4" t="s">
        <v>0</v>
      </c>
      <c r="K1" s="80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4" ht="17.25" customHeight="1">
      <c r="A2" s="7" t="s">
        <v>1</v>
      </c>
    </row>
    <row r="3" spans="1:24" ht="13.5" customHeight="1">
      <c r="A3" s="7"/>
    </row>
    <row r="4" spans="1:24" ht="16.5" customHeight="1">
      <c r="A4" s="8"/>
      <c r="B4" s="8"/>
      <c r="C4" s="8"/>
      <c r="D4" s="8"/>
      <c r="E4" s="8"/>
      <c r="F4" s="8"/>
      <c r="G4" s="8"/>
      <c r="H4" s="8"/>
      <c r="I4" s="25"/>
      <c r="J4" s="29"/>
      <c r="K4" s="33"/>
    </row>
    <row r="5" spans="1:24" ht="13.5" customHeight="1" thickBot="1">
      <c r="A5" s="9"/>
      <c r="B5" s="10"/>
      <c r="C5" s="10"/>
      <c r="D5" s="10"/>
      <c r="E5" s="10"/>
      <c r="F5" s="11"/>
      <c r="G5" s="11"/>
      <c r="H5" s="11"/>
      <c r="I5" s="26"/>
      <c r="J5" s="30"/>
      <c r="K5" s="34"/>
      <c r="L5" s="50">
        <v>70000</v>
      </c>
      <c r="M5" s="50">
        <v>50000</v>
      </c>
      <c r="N5" s="50">
        <v>40000</v>
      </c>
      <c r="O5" s="50">
        <v>35000</v>
      </c>
      <c r="P5" s="50">
        <v>20000</v>
      </c>
      <c r="Q5" s="50">
        <v>15600</v>
      </c>
      <c r="R5" s="50">
        <v>30000</v>
      </c>
      <c r="S5" s="50">
        <v>35000</v>
      </c>
      <c r="T5" s="50">
        <v>35000</v>
      </c>
      <c r="U5" s="50">
        <v>35000</v>
      </c>
    </row>
    <row r="6" spans="1:24" s="19" customFormat="1" ht="24.75" customHeight="1">
      <c r="A6" s="43" t="s">
        <v>2</v>
      </c>
      <c r="B6" s="44" t="s">
        <v>3</v>
      </c>
      <c r="C6" s="44" t="s">
        <v>4</v>
      </c>
      <c r="D6" s="45" t="s">
        <v>5</v>
      </c>
      <c r="E6" s="45" t="s">
        <v>6</v>
      </c>
      <c r="F6" s="46" t="s">
        <v>7</v>
      </c>
      <c r="G6" s="46" t="s">
        <v>8</v>
      </c>
      <c r="H6" s="44" t="s">
        <v>9</v>
      </c>
      <c r="I6" s="90" t="s">
        <v>10</v>
      </c>
      <c r="J6" s="91"/>
      <c r="K6" s="92"/>
      <c r="L6" s="47" t="s">
        <v>11</v>
      </c>
      <c r="M6" s="47" t="s">
        <v>12</v>
      </c>
      <c r="N6" s="47" t="s">
        <v>13</v>
      </c>
      <c r="O6" s="47" t="s">
        <v>14</v>
      </c>
      <c r="P6" s="47" t="s">
        <v>15</v>
      </c>
      <c r="Q6" s="47" t="s">
        <v>16</v>
      </c>
      <c r="R6" s="47" t="s">
        <v>17</v>
      </c>
      <c r="S6" s="47" t="s">
        <v>18</v>
      </c>
      <c r="T6" s="47" t="s">
        <v>19</v>
      </c>
      <c r="U6" s="48" t="s">
        <v>20</v>
      </c>
      <c r="V6" s="49" t="s">
        <v>21</v>
      </c>
      <c r="W6" s="63" t="s">
        <v>22</v>
      </c>
      <c r="X6" s="49" t="s">
        <v>23</v>
      </c>
    </row>
    <row r="7" spans="1:24" s="18" customFormat="1" ht="30" customHeight="1">
      <c r="A7" s="20">
        <f t="shared" ref="A7:A13" si="0">ROW()-6</f>
        <v>1</v>
      </c>
      <c r="B7" s="69"/>
      <c r="C7" s="69"/>
      <c r="D7" s="69"/>
      <c r="E7" s="68"/>
      <c r="F7" s="68"/>
      <c r="G7" s="21"/>
      <c r="H7" s="72"/>
      <c r="I7" s="114"/>
      <c r="J7" s="115"/>
      <c r="K7" s="116"/>
      <c r="L7" s="22"/>
      <c r="M7" s="22"/>
      <c r="N7" s="22"/>
      <c r="O7" s="22"/>
      <c r="P7" s="22"/>
      <c r="Q7" s="22"/>
      <c r="R7" s="22"/>
      <c r="S7" s="22"/>
      <c r="T7" s="22"/>
      <c r="U7" s="22"/>
      <c r="V7" s="66">
        <f t="shared" ref="V7:V13" si="1">SUM($L7:$U7)</f>
        <v>0</v>
      </c>
      <c r="W7" s="64">
        <f t="shared" ref="W7:W13" si="2">(L7*$L$5+M7*$M$5+N7*$N$5+O7*$O$5+P7*$P$5+Q7*$Q$5+R7*$R$5+U7*$U$5+S7*$S$5+$T$5*T7)*$G7</f>
        <v>0</v>
      </c>
      <c r="X7" s="42">
        <f t="shared" ref="X7:X13" si="3">ROUNDDOWN($W7,-3)</f>
        <v>0</v>
      </c>
    </row>
    <row r="8" spans="1:24" s="18" customFormat="1" ht="30" customHeight="1">
      <c r="A8" s="20">
        <f t="shared" si="0"/>
        <v>2</v>
      </c>
      <c r="B8" s="69"/>
      <c r="C8" s="69"/>
      <c r="D8" s="69"/>
      <c r="E8" s="68"/>
      <c r="F8" s="23"/>
      <c r="G8" s="21"/>
      <c r="H8" s="72"/>
      <c r="I8" s="114"/>
      <c r="J8" s="115"/>
      <c r="K8" s="116"/>
      <c r="L8" s="22"/>
      <c r="M8" s="22"/>
      <c r="N8" s="22"/>
      <c r="O8" s="22"/>
      <c r="P8" s="22"/>
      <c r="Q8" s="22"/>
      <c r="R8" s="22"/>
      <c r="S8" s="22"/>
      <c r="T8" s="22"/>
      <c r="U8" s="22"/>
      <c r="V8" s="66">
        <f t="shared" si="1"/>
        <v>0</v>
      </c>
      <c r="W8" s="64">
        <f t="shared" si="2"/>
        <v>0</v>
      </c>
      <c r="X8" s="42">
        <f t="shared" si="3"/>
        <v>0</v>
      </c>
    </row>
    <row r="9" spans="1:24" s="18" customFormat="1" ht="30" customHeight="1">
      <c r="A9" s="20">
        <f t="shared" si="0"/>
        <v>3</v>
      </c>
      <c r="B9" s="69"/>
      <c r="C9" s="69"/>
      <c r="D9" s="69"/>
      <c r="E9" s="68"/>
      <c r="F9" s="23"/>
      <c r="G9" s="21"/>
      <c r="H9" s="72"/>
      <c r="I9" s="114"/>
      <c r="J9" s="115"/>
      <c r="K9" s="116"/>
      <c r="L9" s="22"/>
      <c r="M9" s="22"/>
      <c r="N9" s="22"/>
      <c r="O9" s="22"/>
      <c r="P9" s="22"/>
      <c r="Q9" s="22"/>
      <c r="R9" s="22"/>
      <c r="S9" s="22"/>
      <c r="T9" s="22"/>
      <c r="U9" s="22"/>
      <c r="V9" s="66">
        <f t="shared" si="1"/>
        <v>0</v>
      </c>
      <c r="W9" s="64">
        <f t="shared" si="2"/>
        <v>0</v>
      </c>
      <c r="X9" s="42">
        <f t="shared" si="3"/>
        <v>0</v>
      </c>
    </row>
    <row r="10" spans="1:24" s="18" customFormat="1" ht="30" customHeight="1">
      <c r="A10" s="20">
        <f t="shared" si="0"/>
        <v>4</v>
      </c>
      <c r="B10" s="69"/>
      <c r="C10" s="69"/>
      <c r="D10" s="69"/>
      <c r="E10" s="68"/>
      <c r="F10" s="23"/>
      <c r="G10" s="21"/>
      <c r="H10" s="72"/>
      <c r="I10" s="114"/>
      <c r="J10" s="115"/>
      <c r="K10" s="116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66">
        <f t="shared" si="1"/>
        <v>0</v>
      </c>
      <c r="W10" s="64">
        <f t="shared" si="2"/>
        <v>0</v>
      </c>
      <c r="X10" s="42">
        <f t="shared" si="3"/>
        <v>0</v>
      </c>
    </row>
    <row r="11" spans="1:24" s="18" customFormat="1" ht="30" customHeight="1">
      <c r="A11" s="20">
        <f t="shared" si="0"/>
        <v>5</v>
      </c>
      <c r="B11" s="69"/>
      <c r="C11" s="69"/>
      <c r="D11" s="69"/>
      <c r="E11" s="68"/>
      <c r="F11" s="73"/>
      <c r="G11" s="21"/>
      <c r="H11" s="72"/>
      <c r="I11" s="114"/>
      <c r="J11" s="115"/>
      <c r="K11" s="116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66">
        <f t="shared" si="1"/>
        <v>0</v>
      </c>
      <c r="W11" s="64">
        <f t="shared" si="2"/>
        <v>0</v>
      </c>
      <c r="X11" s="42">
        <f t="shared" si="3"/>
        <v>0</v>
      </c>
    </row>
    <row r="12" spans="1:24" s="18" customFormat="1" ht="30" customHeight="1">
      <c r="A12" s="20">
        <f t="shared" si="0"/>
        <v>6</v>
      </c>
      <c r="B12" s="69"/>
      <c r="C12" s="69"/>
      <c r="D12" s="69"/>
      <c r="E12" s="68"/>
      <c r="F12" s="23"/>
      <c r="G12" s="21"/>
      <c r="H12" s="72"/>
      <c r="I12" s="114"/>
      <c r="J12" s="115"/>
      <c r="K12" s="11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66">
        <f t="shared" si="1"/>
        <v>0</v>
      </c>
      <c r="W12" s="64">
        <f t="shared" si="2"/>
        <v>0</v>
      </c>
      <c r="X12" s="42">
        <f t="shared" si="3"/>
        <v>0</v>
      </c>
    </row>
    <row r="13" spans="1:24" s="18" customFormat="1" ht="30" customHeight="1">
      <c r="A13" s="20">
        <f t="shared" si="0"/>
        <v>7</v>
      </c>
      <c r="B13" s="69"/>
      <c r="C13" s="69"/>
      <c r="D13" s="69"/>
      <c r="E13" s="68"/>
      <c r="F13" s="73"/>
      <c r="G13" s="21"/>
      <c r="H13" s="72"/>
      <c r="I13" s="114"/>
      <c r="J13" s="115"/>
      <c r="K13" s="116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66">
        <f t="shared" si="1"/>
        <v>0</v>
      </c>
      <c r="W13" s="64">
        <f t="shared" si="2"/>
        <v>0</v>
      </c>
      <c r="X13" s="42">
        <f t="shared" si="3"/>
        <v>0</v>
      </c>
    </row>
    <row r="14" spans="1:24" s="18" customFormat="1" ht="30" customHeight="1" thickBot="1">
      <c r="A14" s="38"/>
      <c r="B14" s="70"/>
      <c r="C14" s="70"/>
      <c r="D14" s="71"/>
      <c r="E14" s="36"/>
      <c r="F14" s="39"/>
      <c r="G14" s="39"/>
      <c r="H14" s="40"/>
      <c r="I14" s="117"/>
      <c r="J14" s="118"/>
      <c r="K14" s="119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67"/>
      <c r="W14" s="65" t="s">
        <v>24</v>
      </c>
      <c r="X14" s="41">
        <f>SUM(X7:X13)</f>
        <v>0</v>
      </c>
    </row>
    <row r="15" spans="1:24" ht="15.75" customHeight="1">
      <c r="A15" s="12"/>
      <c r="B15" s="13"/>
      <c r="C15" s="13"/>
      <c r="D15" s="13"/>
      <c r="E15" s="13"/>
      <c r="F15" s="13"/>
      <c r="G15" s="13"/>
      <c r="H15" s="13"/>
      <c r="I15" s="27"/>
      <c r="J15" s="31"/>
      <c r="K15" s="3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/>
      <c r="X15" s="15"/>
    </row>
    <row r="17" spans="3:24" ht="26.25" customHeight="1">
      <c r="P17" s="77"/>
      <c r="Q17" s="81" t="s">
        <v>25</v>
      </c>
      <c r="R17" s="82"/>
      <c r="S17" s="83"/>
      <c r="T17" s="82"/>
      <c r="U17" s="84"/>
      <c r="V17" s="84"/>
      <c r="W17" s="83"/>
      <c r="X17" s="84"/>
    </row>
    <row r="18" spans="3:24" ht="26.25" customHeight="1">
      <c r="C18" s="78"/>
      <c r="D18" s="85" t="s">
        <v>26</v>
      </c>
      <c r="E18" s="84"/>
      <c r="F18" s="84"/>
      <c r="G18" s="84"/>
      <c r="H18" s="86"/>
      <c r="I18" s="87"/>
      <c r="J18" s="88"/>
      <c r="K18" s="84"/>
      <c r="L18" s="83"/>
      <c r="P18" s="77"/>
      <c r="Q18" s="89" t="s">
        <v>27</v>
      </c>
      <c r="R18" s="82"/>
      <c r="S18" s="83"/>
      <c r="T18" s="82"/>
      <c r="U18" s="84"/>
      <c r="V18" s="84"/>
      <c r="W18" s="83"/>
      <c r="X18" s="84"/>
    </row>
    <row r="19" spans="3:24" ht="26.25" customHeight="1">
      <c r="D19" s="84"/>
      <c r="E19" s="84"/>
      <c r="F19" s="84"/>
      <c r="G19" s="84"/>
      <c r="H19" s="86"/>
      <c r="I19" s="87"/>
      <c r="J19" s="88"/>
      <c r="K19" s="84"/>
      <c r="L19" s="83"/>
      <c r="P19" s="77"/>
      <c r="Q19" s="81" t="s">
        <v>28</v>
      </c>
      <c r="R19" s="82"/>
      <c r="S19" s="83"/>
      <c r="T19" s="82"/>
      <c r="U19" s="84"/>
      <c r="V19" s="84"/>
      <c r="W19" s="83"/>
      <c r="X19" s="84"/>
    </row>
    <row r="27" spans="3:24">
      <c r="R27" s="5"/>
      <c r="S27" s="16"/>
      <c r="T27" s="16"/>
    </row>
    <row r="39" spans="16:24" ht="16.5" customHeight="1">
      <c r="P39" s="17"/>
      <c r="Q39" s="17"/>
      <c r="W39" s="17"/>
      <c r="X39" s="17"/>
    </row>
  </sheetData>
  <autoFilter ref="A6:W6" xr:uid="{00000000-0009-0000-0000-000001000000}">
    <filterColumn colId="7" showButton="0"/>
    <filterColumn colId="8" showButton="0"/>
  </autoFilter>
  <mergeCells count="13">
    <mergeCell ref="Q17:X17"/>
    <mergeCell ref="D18:L19"/>
    <mergeCell ref="Q19:X19"/>
    <mergeCell ref="Q18:X18"/>
    <mergeCell ref="I6:K6"/>
    <mergeCell ref="I7:K7"/>
    <mergeCell ref="I8:K8"/>
    <mergeCell ref="I9:K9"/>
    <mergeCell ref="I10:K10"/>
    <mergeCell ref="I11:K11"/>
    <mergeCell ref="I12:K12"/>
    <mergeCell ref="I13:K13"/>
    <mergeCell ref="I14:K14"/>
  </mergeCells>
  <phoneticPr fontId="22" type="noConversion"/>
  <conditionalFormatting sqref="C7:C11 C14">
    <cfRule type="duplicateValues" dxfId="3" priority="99"/>
  </conditionalFormatting>
  <conditionalFormatting sqref="C12:C13">
    <cfRule type="duplicateValues" dxfId="2" priority="102"/>
  </conditionalFormatting>
  <conditionalFormatting sqref="D7:D11">
    <cfRule type="duplicateValues" dxfId="1" priority="105"/>
  </conditionalFormatting>
  <conditionalFormatting sqref="D12:D13">
    <cfRule type="duplicateValues" dxfId="0" priority="103"/>
  </conditionalFormatting>
  <pageMargins left="0.19685039370078741" right="0.19685039370078741" top="0.59055118110236227" bottom="0.43307086614173229" header="0.51181102362204722" footer="0.35433070866141742"/>
  <pageSetup paperSize="9" scale="50" fitToHeight="0" orientation="landscape"/>
  <headerFooter alignWithMargins="0">
    <oddHeader>&amp;R&amp;N장 중 &amp;P페이지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견적서</vt:lpstr>
      <vt:lpstr>기계</vt:lpstr>
      <vt:lpstr>Sheet1</vt:lpstr>
      <vt:lpstr>견적서!Print_Area</vt:lpstr>
      <vt:lpstr>기계!Print_Area</vt:lpstr>
      <vt:lpstr>견적서!Print_Titles</vt:lpstr>
      <vt:lpstr>기계!Print_Titles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Sum H</cp:lastModifiedBy>
  <cp:lastPrinted>2026-07-02T03:45:32Z</cp:lastPrinted>
  <dcterms:created xsi:type="dcterms:W3CDTF">2019-03-03T23:00:53Z</dcterms:created>
  <dcterms:modified xsi:type="dcterms:W3CDTF">2026-08-10T08:13:39Z</dcterms:modified>
</cp:coreProperties>
</file>