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Z:\05. 생산자료\견적_산정\2026년도\06월\"/>
    </mc:Choice>
  </mc:AlternateContent>
  <xr:revisionPtr revIDLastSave="0" documentId="13_ncr:1_{A8A72E3E-ED1A-433F-BE8E-D9E3807A5E20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견적서" sheetId="9" r:id="rId1"/>
    <sheet name="기계" sheetId="10" r:id="rId2"/>
    <sheet name="Sheet1" sheetId="11" r:id="rId3"/>
  </sheets>
  <externalReferences>
    <externalReference r:id="rId4"/>
  </externalReferences>
  <definedNames>
    <definedName name="_xlnm._FilterDatabase" localSheetId="1" hidden="1">기계!$A$6:$V$6</definedName>
    <definedName name="_Order1" hidden="1">255</definedName>
    <definedName name="a">[1]ISA3월!$D$16135</definedName>
    <definedName name="_xlnm.Print_Area" localSheetId="1">기계!$A$1:$V$28</definedName>
    <definedName name="_xlnm.Print_Titles" localSheetId="1">기계!#REF!</definedName>
    <definedName name="Visual_FoxPro_Tables_Query" localSheetId="1">기계!#REF!</definedName>
    <definedName name="Visual_FoxPro_Tables_Query_1" localSheetId="1">기계!#REF!</definedName>
    <definedName name="Visual_FoxPro_Tables_Query_2" localSheetId="1">기계!#REF!</definedName>
    <definedName name="Visual_FoxPro_Tables_Query_3" localSheetId="1">기계!#REF!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9" l="1"/>
  <c r="B26" i="9"/>
  <c r="B27" i="9"/>
  <c r="B28" i="9"/>
  <c r="B29" i="9"/>
  <c r="B30" i="9"/>
  <c r="G30" i="9"/>
  <c r="G29" i="9"/>
  <c r="G28" i="9"/>
  <c r="G27" i="9"/>
  <c r="G26" i="9"/>
  <c r="G25" i="9"/>
  <c r="G24" i="9"/>
  <c r="E30" i="9"/>
  <c r="E29" i="9"/>
  <c r="E28" i="9"/>
  <c r="E27" i="9"/>
  <c r="E26" i="9"/>
  <c r="E25" i="9"/>
  <c r="E24" i="9"/>
  <c r="C30" i="9"/>
  <c r="C29" i="9"/>
  <c r="C28" i="9"/>
  <c r="C27" i="9"/>
  <c r="C26" i="9"/>
  <c r="C25" i="9"/>
  <c r="C24" i="9"/>
  <c r="C23" i="9"/>
  <c r="V23" i="10"/>
  <c r="U20" i="10"/>
  <c r="V20" i="10" s="1"/>
  <c r="T20" i="10"/>
  <c r="U19" i="10"/>
  <c r="V19" i="10" s="1"/>
  <c r="T19" i="10"/>
  <c r="U18" i="10"/>
  <c r="V18" i="10" s="1"/>
  <c r="T18" i="10"/>
  <c r="U17" i="10"/>
  <c r="V17" i="10" s="1"/>
  <c r="T17" i="10"/>
  <c r="U16" i="10"/>
  <c r="V16" i="10" s="1"/>
  <c r="T16" i="10"/>
  <c r="U15" i="10"/>
  <c r="V15" i="10" s="1"/>
  <c r="T15" i="10"/>
  <c r="A15" i="10"/>
  <c r="A16" i="10"/>
  <c r="A17" i="10"/>
  <c r="A18" i="10"/>
  <c r="A19" i="10"/>
  <c r="A20" i="10"/>
  <c r="E22" i="9"/>
  <c r="E23" i="9"/>
  <c r="C22" i="9"/>
  <c r="T22" i="10"/>
  <c r="T21" i="10"/>
  <c r="T14" i="10"/>
  <c r="U22" i="10"/>
  <c r="V22" i="10" s="1"/>
  <c r="U21" i="10"/>
  <c r="V21" i="10" s="1"/>
  <c r="U14" i="10"/>
  <c r="V14" i="10" s="1"/>
  <c r="G23" i="9" s="1"/>
  <c r="U13" i="10"/>
  <c r="V13" i="10" s="1"/>
  <c r="G22" i="9" s="1"/>
  <c r="T13" i="10"/>
  <c r="A13" i="10"/>
  <c r="A14" i="10"/>
  <c r="A21" i="10"/>
  <c r="A22" i="10"/>
  <c r="E21" i="9"/>
  <c r="C21" i="9"/>
  <c r="C20" i="9"/>
  <c r="B24" i="9"/>
  <c r="B23" i="9"/>
  <c r="B22" i="9"/>
  <c r="B21" i="9"/>
  <c r="B20" i="9"/>
  <c r="B19" i="9"/>
  <c r="B18" i="9"/>
  <c r="B17" i="9"/>
  <c r="B16" i="9"/>
  <c r="A12" i="10"/>
  <c r="A11" i="10"/>
  <c r="A10" i="10"/>
  <c r="A9" i="10"/>
  <c r="A8" i="10"/>
  <c r="A7" i="10"/>
  <c r="T12" i="10"/>
  <c r="U12" i="10"/>
  <c r="V12" i="10" s="1"/>
  <c r="G21" i="9" s="1"/>
  <c r="E20" i="9"/>
  <c r="E19" i="9"/>
  <c r="E18" i="9"/>
  <c r="C19" i="9"/>
  <c r="C18" i="9"/>
  <c r="U11" i="10"/>
  <c r="V11" i="10" s="1"/>
  <c r="T11" i="10"/>
  <c r="U10" i="10"/>
  <c r="V10" i="10" s="1"/>
  <c r="G19" i="9" s="1"/>
  <c r="T10" i="10"/>
  <c r="U9" i="10"/>
  <c r="V9" i="10" s="1"/>
  <c r="G18" i="9" s="1"/>
  <c r="T9" i="10"/>
  <c r="E17" i="9"/>
  <c r="E16" i="9"/>
  <c r="C17" i="9"/>
  <c r="C16" i="9"/>
  <c r="T8" i="10"/>
  <c r="T7" i="10"/>
  <c r="U8" i="10"/>
  <c r="V8" i="10" s="1"/>
  <c r="G17" i="9" s="1"/>
  <c r="U7" i="10"/>
  <c r="V7" i="10" s="1"/>
  <c r="G16" i="9" s="1"/>
  <c r="G31" i="9" l="1"/>
  <c r="G20" i="9"/>
</calcChain>
</file>

<file path=xl/sharedStrings.xml><?xml version="1.0" encoding="utf-8"?>
<sst xmlns="http://schemas.openxmlformats.org/spreadsheetml/2006/main" count="110" uniqueCount="94">
  <si>
    <t>합계</t>
    <phoneticPr fontId="3" type="noConversion"/>
  </si>
  <si>
    <t>No</t>
    <phoneticPr fontId="3" type="noConversion"/>
  </si>
  <si>
    <t xml:space="preserve">  아래와 같이 견적합니다.</t>
    <phoneticPr fontId="3" type="noConversion"/>
  </si>
  <si>
    <t xml:space="preserve">  부   서 : 구매팀 </t>
    <phoneticPr fontId="3" type="noConversion"/>
  </si>
  <si>
    <t>견  적  서</t>
    <phoneticPr fontId="3" type="noConversion"/>
  </si>
  <si>
    <t>SUM</t>
    <phoneticPr fontId="4" type="noConversion"/>
  </si>
  <si>
    <t>프로그램 및치구</t>
    <phoneticPr fontId="4" type="noConversion"/>
  </si>
  <si>
    <t>연삭 or 와이어</t>
    <phoneticPr fontId="3" type="noConversion"/>
  </si>
  <si>
    <t>CMM</t>
  </si>
  <si>
    <t>사상</t>
  </si>
  <si>
    <t>범용</t>
  </si>
  <si>
    <t>NC 선반</t>
  </si>
  <si>
    <t>3축 NC</t>
  </si>
  <si>
    <t>5축 NC</t>
  </si>
  <si>
    <t>NO</t>
    <phoneticPr fontId="5" type="noConversion"/>
  </si>
  <si>
    <t>견적단가</t>
    <phoneticPr fontId="3" type="noConversion"/>
  </si>
  <si>
    <t>Qty</t>
  </si>
  <si>
    <t>Material</t>
  </si>
  <si>
    <t>최종단가</t>
    <phoneticPr fontId="4" type="noConversion"/>
  </si>
  <si>
    <t>㈜텍스타</t>
    <phoneticPr fontId="4" type="noConversion"/>
  </si>
  <si>
    <t>생산부장 황 성문</t>
    <phoneticPr fontId="4" type="noConversion"/>
  </si>
  <si>
    <t xml:space="preserve"> 제목 : 견적 제출 건</t>
    <phoneticPr fontId="4" type="noConversion"/>
  </si>
  <si>
    <t xml:space="preserve">        아래와 같이  최종견적 선정합니다.</t>
    <phoneticPr fontId="4" type="noConversion"/>
  </si>
  <si>
    <t>Coment</t>
    <phoneticPr fontId="1" type="noConversion"/>
  </si>
  <si>
    <t>Size</t>
    <phoneticPr fontId="1" type="noConversion"/>
  </si>
  <si>
    <t>품번</t>
    <phoneticPr fontId="1" type="noConversion"/>
  </si>
  <si>
    <t>품명</t>
    <phoneticPr fontId="1" type="noConversion"/>
  </si>
  <si>
    <t>가능여부</t>
    <phoneticPr fontId="1" type="noConversion"/>
  </si>
  <si>
    <t xml:space="preserve">  사업명 : 사업명</t>
    <phoneticPr fontId="3" type="noConversion"/>
  </si>
  <si>
    <t>사업자등록번호 : 000-00-00000</t>
    <phoneticPr fontId="3" type="noConversion"/>
  </si>
  <si>
    <t>주소 : 경남 진주시 뿌리산단로 15번길24</t>
    <phoneticPr fontId="3" type="noConversion"/>
  </si>
  <si>
    <t>전화번호 : 055-761-3767</t>
    <phoneticPr fontId="3" type="noConversion"/>
  </si>
  <si>
    <t>회사명㈜ 귀중</t>
    <phoneticPr fontId="3" type="noConversion"/>
  </si>
  <si>
    <t>대표자 : 김종호 대표이사    (인)</t>
    <phoneticPr fontId="3" type="noConversion"/>
  </si>
  <si>
    <t>품번</t>
    <phoneticPr fontId="3" type="noConversion"/>
  </si>
  <si>
    <t>품명</t>
    <phoneticPr fontId="3" type="noConversion"/>
  </si>
  <si>
    <t xml:space="preserve">  담당자 : 대상업체 담당자 직위</t>
    <phoneticPr fontId="3" type="noConversion"/>
  </si>
  <si>
    <t>합계</t>
    <phoneticPr fontId="1" type="noConversion"/>
  </si>
  <si>
    <t>단가</t>
    <phoneticPr fontId="4" type="noConversion"/>
  </si>
  <si>
    <t>4축</t>
    <phoneticPr fontId="1" type="noConversion"/>
  </si>
  <si>
    <t>담당자 : 김병환 이사</t>
    <phoneticPr fontId="3" type="noConversion"/>
  </si>
  <si>
    <t xml:space="preserve">  제출일자 : 2026.06.02</t>
    <phoneticPr fontId="3" type="noConversion"/>
  </si>
  <si>
    <t>DN40-WH0170L</t>
    <phoneticPr fontId="1" type="noConversion"/>
  </si>
  <si>
    <t>브래킷, 더미탄두용</t>
    <phoneticPr fontId="1" type="noConversion"/>
  </si>
  <si>
    <t>SS275</t>
    <phoneticPr fontId="1" type="noConversion"/>
  </si>
  <si>
    <t>DN40-WH0108L</t>
    <phoneticPr fontId="1" type="noConversion"/>
  </si>
  <si>
    <t>더미중량, 추가용</t>
    <phoneticPr fontId="1" type="noConversion"/>
  </si>
  <si>
    <t>치구 재작필요</t>
    <phoneticPr fontId="1" type="noConversion"/>
  </si>
  <si>
    <t>DN40-MF0874L</t>
    <phoneticPr fontId="1" type="noConversion"/>
  </si>
  <si>
    <t>가이드 블록</t>
    <phoneticPr fontId="1" type="noConversion"/>
  </si>
  <si>
    <t>STS630</t>
    <phoneticPr fontId="1" type="noConversion"/>
  </si>
  <si>
    <t>정밀공차 /  연마공정필요</t>
    <phoneticPr fontId="1" type="noConversion"/>
  </si>
  <si>
    <t>연마공정필요</t>
    <phoneticPr fontId="1" type="noConversion"/>
  </si>
  <si>
    <t>DN40-MF0882L</t>
    <phoneticPr fontId="1" type="noConversion"/>
  </si>
  <si>
    <t xml:space="preserve">가이드 블록 </t>
    <phoneticPr fontId="1" type="noConversion"/>
  </si>
  <si>
    <t>DN40-IC0025L</t>
    <phoneticPr fontId="1" type="noConversion"/>
  </si>
  <si>
    <t>브래킷, 간격유지용</t>
    <phoneticPr fontId="1" type="noConversion"/>
  </si>
  <si>
    <t>AL2024-T3 [시트]</t>
    <phoneticPr fontId="1" type="noConversion"/>
  </si>
  <si>
    <t>DN40-IC0026L</t>
    <phoneticPr fontId="1" type="noConversion"/>
  </si>
  <si>
    <t>간격유지기</t>
    <phoneticPr fontId="1" type="noConversion"/>
  </si>
  <si>
    <t>STS304[시트]</t>
    <phoneticPr fontId="1" type="noConversion"/>
  </si>
  <si>
    <t>DN40-MW0103H</t>
    <phoneticPr fontId="1" type="noConversion"/>
  </si>
  <si>
    <t>고정용 브래킷, 좌현용</t>
    <phoneticPr fontId="1" type="noConversion"/>
  </si>
  <si>
    <t>소재 치수 모델필요</t>
    <phoneticPr fontId="1" type="noConversion"/>
  </si>
  <si>
    <t>[임시 스톡사이즈]</t>
    <phoneticPr fontId="1" type="noConversion"/>
  </si>
  <si>
    <t>STD61</t>
    <phoneticPr fontId="1" type="noConversion"/>
  </si>
  <si>
    <t>DN40-MW0203H</t>
    <phoneticPr fontId="1" type="noConversion"/>
  </si>
  <si>
    <t>고정용 브래킷, 우현용</t>
    <phoneticPr fontId="1" type="noConversion"/>
  </si>
  <si>
    <t>DN40-MW0116L</t>
    <phoneticPr fontId="1" type="noConversion"/>
  </si>
  <si>
    <t>마개</t>
    <phoneticPr fontId="1" type="noConversion"/>
  </si>
  <si>
    <t>PEEK</t>
    <phoneticPr fontId="1" type="noConversion"/>
  </si>
  <si>
    <t>DN40-NW0114L</t>
    <phoneticPr fontId="1" type="noConversion"/>
  </si>
  <si>
    <t>축, 센서용</t>
    <phoneticPr fontId="1" type="noConversion"/>
  </si>
  <si>
    <t>NC 선반</t>
    <phoneticPr fontId="1" type="noConversion"/>
  </si>
  <si>
    <t>STS630</t>
    <phoneticPr fontId="1" type="noConversion"/>
  </si>
  <si>
    <t>DN40-MW0115L</t>
    <phoneticPr fontId="1" type="noConversion"/>
  </si>
  <si>
    <t>와셔</t>
    <phoneticPr fontId="1" type="noConversion"/>
  </si>
  <si>
    <t>연마공정필요 / 전용 치구재작</t>
    <phoneticPr fontId="1" type="noConversion"/>
  </si>
  <si>
    <t>스페이셜 관리 필요
[ 레이저 후 연마 OR 가공후 연마]</t>
    <phoneticPr fontId="1" type="noConversion"/>
  </si>
  <si>
    <t>DN40-WH0106L</t>
    <phoneticPr fontId="1" type="noConversion"/>
  </si>
  <si>
    <t>너트, 더미 탄두용</t>
    <phoneticPr fontId="1" type="noConversion"/>
  </si>
  <si>
    <t>NC선반 후 MCT</t>
    <phoneticPr fontId="1" type="noConversion"/>
  </si>
  <si>
    <t>M135-P3.0 나사</t>
    <phoneticPr fontId="1" type="noConversion"/>
  </si>
  <si>
    <t>SM45C</t>
    <phoneticPr fontId="1" type="noConversion"/>
  </si>
  <si>
    <t>DN40-MF0872L</t>
    <phoneticPr fontId="1" type="noConversion"/>
  </si>
  <si>
    <t>위치핀, 탄두지지용</t>
    <phoneticPr fontId="1" type="noConversion"/>
  </si>
  <si>
    <t>NC선반 후 MCT 
OR 턴밀 완가공</t>
    <phoneticPr fontId="1" type="noConversion"/>
  </si>
  <si>
    <t>1-12UNF-3A</t>
    <phoneticPr fontId="1" type="noConversion"/>
  </si>
  <si>
    <t>DN40-MF0873L</t>
    <phoneticPr fontId="1" type="noConversion"/>
  </si>
  <si>
    <t>핀, 탄두지지용</t>
    <phoneticPr fontId="1" type="noConversion"/>
  </si>
  <si>
    <t>5/16-24UNF-3A
추가 방전 필요</t>
    <phoneticPr fontId="1" type="noConversion"/>
  </si>
  <si>
    <t>DN40-MF0883L</t>
    <phoneticPr fontId="1" type="noConversion"/>
  </si>
  <si>
    <t xml:space="preserve">위치핀, 탄두지지용 </t>
    <phoneticPr fontId="1" type="noConversion"/>
  </si>
  <si>
    <t>Coment : 노란색표기 부분 복합 공정 [CNC 선반 및 외주 가공 필요]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</si>
</sst>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&quot;₩&quot;#,##0_);[Red]\(&quot;₩&quot;#,##0\)"/>
    <numFmt numFmtId="177" formatCode="#,##0_ "/>
    <numFmt numFmtId="178" formatCode="_-* #,##0.0_-;\-* #,##0.0_-;_-* &quot;-&quot;_-;_-@_-"/>
    <numFmt numFmtId="179" formatCode="0.00;;"/>
    <numFmt numFmtId="180" formatCode="0.0"/>
    <numFmt numFmtId="181" formatCode="&quot;T&quot;\ #,##0.0"/>
    <numFmt numFmtId="182" formatCode="&quot;W &quot;0.0\ "/>
    <numFmt numFmtId="183" formatCode="&quot;L &quot;0.0"/>
  </numFmts>
  <fonts count="4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rgb="FFFFFFFF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u/>
      <sz val="10"/>
      <color rgb="FF000000"/>
      <name val="맑은 고딕"/>
      <family val="3"/>
      <charset val="129"/>
      <scheme val="major"/>
    </font>
    <font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ajor"/>
    </font>
    <font>
      <u val="double"/>
      <sz val="28"/>
      <color theme="1"/>
      <name val="HY궁서B"/>
      <family val="1"/>
      <charset val="129"/>
    </font>
    <font>
      <sz val="28"/>
      <color theme="1"/>
      <name val="HY궁서B"/>
      <family val="1"/>
      <charset val="129"/>
    </font>
    <font>
      <sz val="18"/>
      <color theme="1"/>
      <name val="HY궁서B"/>
      <family val="1"/>
      <charset val="129"/>
    </font>
    <font>
      <sz val="22"/>
      <color theme="1"/>
      <name val="HY궁서B"/>
      <family val="1"/>
      <charset val="129"/>
    </font>
    <font>
      <sz val="11"/>
      <name val="HY궁서B"/>
      <family val="1"/>
      <charset val="129"/>
    </font>
    <font>
      <sz val="11"/>
      <color theme="1"/>
      <name val="HY궁서B"/>
      <family val="1"/>
      <charset val="129"/>
    </font>
    <font>
      <b/>
      <sz val="11"/>
      <color theme="1"/>
      <name val="HY궁서B"/>
      <family val="1"/>
      <charset val="129"/>
    </font>
    <font>
      <sz val="16"/>
      <color theme="1"/>
      <name val="HY궁서B"/>
      <family val="1"/>
      <charset val="129"/>
    </font>
    <font>
      <b/>
      <sz val="16"/>
      <color theme="1"/>
      <name val="HY궁서B"/>
      <family val="1"/>
      <charset val="129"/>
    </font>
    <font>
      <sz val="12"/>
      <color theme="1"/>
      <name val="HY궁서B"/>
      <family val="1"/>
      <charset val="129"/>
    </font>
    <font>
      <sz val="12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6" fillId="0" borderId="0"/>
    <xf numFmtId="0" fontId="8" fillId="0" borderId="0">
      <alignment vertical="center"/>
    </xf>
  </cellStyleXfs>
  <cellXfs count="107">
    <xf numFmtId="0" fontId="0" fillId="0" borderId="0" xfId="0">
      <alignment vertical="center"/>
    </xf>
    <xf numFmtId="0" fontId="2" fillId="0" borderId="0" xfId="8">
      <alignment vertical="center"/>
    </xf>
    <xf numFmtId="0" fontId="9" fillId="0" borderId="0" xfId="8" applyFont="1">
      <alignment vertical="center"/>
    </xf>
    <xf numFmtId="0" fontId="10" fillId="0" borderId="0" xfId="8" applyFont="1">
      <alignment vertical="center"/>
    </xf>
    <xf numFmtId="0" fontId="10" fillId="0" borderId="0" xfId="8" applyFont="1" applyAlignment="1">
      <alignment horizontal="center" vertical="center"/>
    </xf>
    <xf numFmtId="0" fontId="11" fillId="0" borderId="0" xfId="8" applyFont="1" applyAlignment="1">
      <alignment horizontal="left"/>
    </xf>
    <xf numFmtId="0" fontId="12" fillId="0" borderId="0" xfId="8" applyFont="1">
      <alignment vertical="center"/>
    </xf>
    <xf numFmtId="41" fontId="12" fillId="0" borderId="0" xfId="1" applyFont="1" applyFill="1" applyBorder="1" applyAlignment="1"/>
    <xf numFmtId="0" fontId="13" fillId="0" borderId="0" xfId="8" applyFont="1" applyAlignment="1">
      <alignment horizontal="left"/>
    </xf>
    <xf numFmtId="0" fontId="14" fillId="0" borderId="0" xfId="8" applyFont="1">
      <alignment vertical="center"/>
    </xf>
    <xf numFmtId="0" fontId="15" fillId="0" borderId="0" xfId="8" applyFont="1" applyAlignment="1">
      <alignment vertical="center" wrapText="1" readingOrder="1"/>
    </xf>
    <xf numFmtId="0" fontId="16" fillId="2" borderId="0" xfId="0" applyFont="1" applyFill="1">
      <alignment vertical="center"/>
    </xf>
    <xf numFmtId="0" fontId="16" fillId="0" borderId="0" xfId="0" applyFont="1">
      <alignment vertical="center"/>
    </xf>
    <xf numFmtId="0" fontId="22" fillId="0" borderId="0" xfId="8" applyFont="1" applyAlignment="1">
      <alignment horizontal="right" vertical="center" wrapText="1"/>
    </xf>
    <xf numFmtId="0" fontId="23" fillId="0" borderId="0" xfId="8" applyFont="1" applyAlignment="1">
      <alignment horizontal="left" vertical="center" wrapText="1"/>
    </xf>
    <xf numFmtId="178" fontId="12" fillId="0" borderId="0" xfId="1" applyNumberFormat="1" applyFont="1" applyBorder="1">
      <alignment vertical="center"/>
    </xf>
    <xf numFmtId="41" fontId="12" fillId="0" borderId="0" xfId="1" applyFont="1" applyBorder="1">
      <alignment vertical="center"/>
    </xf>
    <xf numFmtId="41" fontId="12" fillId="0" borderId="0" xfId="8" applyNumberFormat="1" applyFont="1">
      <alignment vertical="center"/>
    </xf>
    <xf numFmtId="0" fontId="21" fillId="0" borderId="0" xfId="8" applyFont="1" applyAlignment="1">
      <alignment vertical="center" wrapText="1"/>
    </xf>
    <xf numFmtId="0" fontId="25" fillId="0" borderId="0" xfId="8" applyFont="1" applyAlignment="1">
      <alignment horizontal="center" vertical="center"/>
    </xf>
    <xf numFmtId="0" fontId="26" fillId="0" borderId="0" xfId="8" applyFont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11" applyFont="1" applyBorder="1" applyAlignment="1">
      <alignment horizontal="center" vertical="center"/>
    </xf>
    <xf numFmtId="178" fontId="25" fillId="0" borderId="10" xfId="1" applyNumberFormat="1" applyFont="1" applyFill="1" applyBorder="1" applyAlignment="1">
      <alignment horizontal="center" vertical="center"/>
    </xf>
    <xf numFmtId="0" fontId="17" fillId="0" borderId="2" xfId="8" applyFont="1" applyBorder="1" applyAlignment="1">
      <alignment horizontal="center" vertical="center"/>
    </xf>
    <xf numFmtId="0" fontId="16" fillId="0" borderId="1" xfId="8" applyFont="1" applyBorder="1" applyAlignment="1">
      <alignment horizontal="center" vertical="center"/>
    </xf>
    <xf numFmtId="0" fontId="20" fillId="0" borderId="12" xfId="11" applyFont="1" applyBorder="1" applyAlignment="1">
      <alignment horizontal="center" vertical="center"/>
    </xf>
    <xf numFmtId="181" fontId="12" fillId="0" borderId="0" xfId="8" applyNumberFormat="1" applyFont="1">
      <alignment vertical="center"/>
    </xf>
    <xf numFmtId="181" fontId="14" fillId="0" borderId="0" xfId="8" applyNumberFormat="1" applyFont="1">
      <alignment vertical="center"/>
    </xf>
    <xf numFmtId="181" fontId="16" fillId="0" borderId="0" xfId="0" applyNumberFormat="1" applyFont="1">
      <alignment vertical="center"/>
    </xf>
    <xf numFmtId="181" fontId="23" fillId="0" borderId="0" xfId="8" applyNumberFormat="1" applyFont="1" applyAlignment="1">
      <alignment horizontal="left" vertical="center" wrapText="1"/>
    </xf>
    <xf numFmtId="182" fontId="12" fillId="0" borderId="0" xfId="8" applyNumberFormat="1" applyFont="1">
      <alignment vertical="center"/>
    </xf>
    <xf numFmtId="182" fontId="14" fillId="0" borderId="0" xfId="8" applyNumberFormat="1" applyFont="1">
      <alignment vertical="center"/>
    </xf>
    <xf numFmtId="182" fontId="16" fillId="0" borderId="0" xfId="0" applyNumberFormat="1" applyFont="1">
      <alignment vertical="center"/>
    </xf>
    <xf numFmtId="182" fontId="23" fillId="0" borderId="0" xfId="8" applyNumberFormat="1" applyFont="1" applyAlignment="1">
      <alignment horizontal="left" vertical="center" wrapText="1"/>
    </xf>
    <xf numFmtId="183" fontId="12" fillId="0" borderId="0" xfId="8" applyNumberFormat="1" applyFont="1">
      <alignment vertical="center"/>
    </xf>
    <xf numFmtId="183" fontId="14" fillId="0" borderId="0" xfId="8" applyNumberFormat="1" applyFont="1">
      <alignment vertical="center"/>
    </xf>
    <xf numFmtId="183" fontId="16" fillId="0" borderId="0" xfId="0" applyNumberFormat="1" applyFont="1">
      <alignment vertical="center"/>
    </xf>
    <xf numFmtId="183" fontId="23" fillId="0" borderId="0" xfId="8" applyNumberFormat="1" applyFont="1" applyAlignment="1">
      <alignment horizontal="left" vertical="center" wrapText="1"/>
    </xf>
    <xf numFmtId="0" fontId="20" fillId="0" borderId="7" xfId="11" applyFont="1" applyBorder="1" applyAlignment="1">
      <alignment horizontal="center" vertical="center" wrapText="1" shrinkToFit="1"/>
    </xf>
    <xf numFmtId="178" fontId="25" fillId="0" borderId="7" xfId="1" applyNumberFormat="1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11" applyFont="1" applyBorder="1" applyAlignment="1">
      <alignment horizontal="center" vertical="center"/>
    </xf>
    <xf numFmtId="0" fontId="12" fillId="0" borderId="7" xfId="8" applyFont="1" applyBorder="1">
      <alignment vertical="center"/>
    </xf>
    <xf numFmtId="181" fontId="16" fillId="0" borderId="7" xfId="11" applyNumberFormat="1" applyFont="1" applyBorder="1" applyAlignment="1">
      <alignment horizontal="center" vertical="center"/>
    </xf>
    <xf numFmtId="182" fontId="16" fillId="0" borderId="7" xfId="11" applyNumberFormat="1" applyFont="1" applyBorder="1" applyAlignment="1">
      <alignment horizontal="center" vertical="center"/>
    </xf>
    <xf numFmtId="183" fontId="16" fillId="0" borderId="7" xfId="11" applyNumberFormat="1" applyFont="1" applyBorder="1" applyAlignment="1">
      <alignment horizontal="center" vertical="center" shrinkToFit="1"/>
    </xf>
    <xf numFmtId="41" fontId="26" fillId="2" borderId="8" xfId="1" applyFont="1" applyFill="1" applyBorder="1" applyAlignment="1">
      <alignment horizontal="center" vertical="center"/>
    </xf>
    <xf numFmtId="181" fontId="14" fillId="0" borderId="10" xfId="8" applyNumberFormat="1" applyFont="1" applyBorder="1" applyAlignment="1">
      <alignment horizontal="center" vertical="center"/>
    </xf>
    <xf numFmtId="182" fontId="14" fillId="0" borderId="10" xfId="8" applyNumberFormat="1" applyFont="1" applyBorder="1" applyAlignment="1">
      <alignment horizontal="center" vertical="center"/>
    </xf>
    <xf numFmtId="183" fontId="6" fillId="0" borderId="10" xfId="0" applyNumberFormat="1" applyFont="1" applyBorder="1" applyAlignment="1">
      <alignment horizontal="center" vertical="center"/>
    </xf>
    <xf numFmtId="41" fontId="26" fillId="0" borderId="11" xfId="1" applyFont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18" fillId="3" borderId="15" xfId="11" applyFont="1" applyFill="1" applyBorder="1" applyAlignment="1">
      <alignment horizontal="center" vertical="center" shrinkToFit="1"/>
    </xf>
    <xf numFmtId="0" fontId="19" fillId="3" borderId="15" xfId="11" applyFont="1" applyFill="1" applyBorder="1" applyAlignment="1">
      <alignment horizontal="center" vertical="center" shrinkToFit="1"/>
    </xf>
    <xf numFmtId="0" fontId="19" fillId="3" borderId="15" xfId="11" applyFont="1" applyFill="1" applyBorder="1" applyAlignment="1">
      <alignment horizontal="center" vertical="center" wrapText="1"/>
    </xf>
    <xf numFmtId="179" fontId="19" fillId="3" borderId="15" xfId="12" applyNumberFormat="1" applyFont="1" applyFill="1" applyBorder="1" applyAlignment="1">
      <alignment horizontal="center" vertical="center"/>
    </xf>
    <xf numFmtId="0" fontId="26" fillId="3" borderId="15" xfId="8" applyFont="1" applyFill="1" applyBorder="1" applyAlignment="1">
      <alignment horizontal="center" vertical="center"/>
    </xf>
    <xf numFmtId="0" fontId="26" fillId="3" borderId="19" xfId="8" applyFont="1" applyFill="1" applyBorder="1" applyAlignment="1">
      <alignment horizontal="center" vertical="center"/>
    </xf>
    <xf numFmtId="41" fontId="28" fillId="2" borderId="13" xfId="1" applyFont="1" applyFill="1" applyBorder="1" applyAlignment="1"/>
    <xf numFmtId="0" fontId="29" fillId="0" borderId="0" xfId="8" applyFont="1" applyAlignment="1">
      <alignment horizontal="centerContinuous" vertical="center"/>
    </xf>
    <xf numFmtId="0" fontId="30" fillId="0" borderId="0" xfId="8" applyFont="1" applyAlignment="1">
      <alignment horizontal="centerContinuous" vertical="center"/>
    </xf>
    <xf numFmtId="0" fontId="31" fillId="0" borderId="0" xfId="8" applyFont="1" applyAlignment="1">
      <alignment horizontal="centerContinuous" vertical="center"/>
    </xf>
    <xf numFmtId="0" fontId="32" fillId="0" borderId="0" xfId="8" applyFont="1" applyAlignment="1">
      <alignment horizontal="centerContinuous" vertical="center"/>
    </xf>
    <xf numFmtId="0" fontId="33" fillId="0" borderId="0" xfId="8" applyFont="1">
      <alignment vertical="center"/>
    </xf>
    <xf numFmtId="0" fontId="34" fillId="0" borderId="0" xfId="8" applyFont="1">
      <alignment vertical="center"/>
    </xf>
    <xf numFmtId="0" fontId="35" fillId="0" borderId="0" xfId="8" applyFont="1">
      <alignment vertical="center"/>
    </xf>
    <xf numFmtId="0" fontId="36" fillId="0" borderId="0" xfId="8" applyFont="1" applyAlignment="1">
      <alignment horizontal="left" vertical="center"/>
    </xf>
    <xf numFmtId="0" fontId="37" fillId="0" borderId="0" xfId="8" applyFont="1">
      <alignment vertical="center"/>
    </xf>
    <xf numFmtId="0" fontId="36" fillId="0" borderId="0" xfId="8" applyFont="1">
      <alignment vertical="center"/>
    </xf>
    <xf numFmtId="0" fontId="38" fillId="0" borderId="0" xfId="8" applyFont="1">
      <alignment vertical="center"/>
    </xf>
    <xf numFmtId="0" fontId="38" fillId="0" borderId="0" xfId="9" applyFont="1">
      <alignment vertical="center"/>
    </xf>
    <xf numFmtId="0" fontId="26" fillId="3" borderId="18" xfId="8" applyFont="1" applyFill="1" applyBorder="1" applyAlignment="1">
      <alignment horizontal="center" vertical="center"/>
    </xf>
    <xf numFmtId="178" fontId="25" fillId="0" borderId="20" xfId="1" applyNumberFormat="1" applyFont="1" applyFill="1" applyBorder="1" applyAlignment="1">
      <alignment horizontal="center" vertical="center"/>
    </xf>
    <xf numFmtId="178" fontId="25" fillId="0" borderId="21" xfId="1" applyNumberFormat="1" applyFont="1" applyFill="1" applyBorder="1" applyAlignment="1">
      <alignment horizontal="center" vertical="center"/>
    </xf>
    <xf numFmtId="178" fontId="25" fillId="4" borderId="11" xfId="1" applyNumberFormat="1" applyFont="1" applyFill="1" applyBorder="1" applyAlignment="1">
      <alignment horizontal="center" vertical="center"/>
    </xf>
    <xf numFmtId="178" fontId="25" fillId="0" borderId="8" xfId="1" applyNumberFormat="1" applyFont="1" applyFill="1" applyBorder="1" applyAlignment="1">
      <alignment horizontal="center" vertical="center"/>
    </xf>
    <xf numFmtId="0" fontId="20" fillId="0" borderId="10" xfId="11" applyFont="1" applyBorder="1" applyAlignment="1">
      <alignment horizontal="center" vertical="center" wrapText="1" shrinkToFit="1"/>
    </xf>
    <xf numFmtId="180" fontId="20" fillId="0" borderId="10" xfId="11" applyNumberFormat="1" applyFont="1" applyBorder="1" applyAlignment="1">
      <alignment horizontal="left" vertical="center" indent="1" shrinkToFit="1"/>
    </xf>
    <xf numFmtId="180" fontId="20" fillId="0" borderId="7" xfId="11" applyNumberFormat="1" applyFont="1" applyBorder="1" applyAlignment="1">
      <alignment horizontal="left" vertical="center" indent="1" shrinkToFit="1"/>
    </xf>
    <xf numFmtId="0" fontId="20" fillId="0" borderId="7" xfId="11" applyFont="1" applyBorder="1" applyAlignment="1">
      <alignment horizontal="left" vertical="center" indent="1" shrinkToFit="1"/>
    </xf>
    <xf numFmtId="0" fontId="12" fillId="0" borderId="10" xfId="8" applyFont="1" applyBorder="1" applyAlignment="1">
      <alignment horizontal="left" vertical="center" indent="1"/>
    </xf>
    <xf numFmtId="0" fontId="40" fillId="0" borderId="12" xfId="11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/>
    </xf>
    <xf numFmtId="0" fontId="25" fillId="0" borderId="3" xfId="8" applyFont="1" applyBorder="1" applyAlignment="1">
      <alignment horizontal="center" vertical="center"/>
    </xf>
    <xf numFmtId="0" fontId="25" fillId="0" borderId="4" xfId="8" applyFont="1" applyBorder="1" applyAlignment="1">
      <alignment horizontal="center" vertical="center" wrapText="1"/>
    </xf>
    <xf numFmtId="0" fontId="25" fillId="0" borderId="3" xfId="8" applyFont="1" applyBorder="1" applyAlignment="1">
      <alignment horizontal="center" vertical="center" wrapText="1"/>
    </xf>
    <xf numFmtId="0" fontId="38" fillId="0" borderId="0" xfId="8" applyFont="1">
      <alignment vertical="center"/>
    </xf>
    <xf numFmtId="0" fontId="38" fillId="0" borderId="0" xfId="8" applyFont="1" applyAlignment="1">
      <alignment horizontal="left" vertical="center"/>
    </xf>
    <xf numFmtId="0" fontId="17" fillId="0" borderId="4" xfId="8" applyFont="1" applyBorder="1" applyAlignment="1">
      <alignment horizontal="center" vertical="center" wrapText="1"/>
    </xf>
    <xf numFmtId="0" fontId="17" fillId="0" borderId="3" xfId="8" applyFont="1" applyBorder="1" applyAlignment="1">
      <alignment horizontal="center" vertical="center" wrapText="1"/>
    </xf>
    <xf numFmtId="177" fontId="12" fillId="0" borderId="4" xfId="8" applyNumberFormat="1" applyFont="1" applyBorder="1" applyAlignment="1">
      <alignment horizontal="center" vertical="center"/>
    </xf>
    <xf numFmtId="177" fontId="12" fillId="0" borderId="3" xfId="8" applyNumberFormat="1" applyFont="1" applyBorder="1" applyAlignment="1">
      <alignment horizontal="center" vertical="center"/>
    </xf>
    <xf numFmtId="0" fontId="17" fillId="0" borderId="4" xfId="8" applyFont="1" applyBorder="1" applyAlignment="1">
      <alignment horizontal="center" vertical="center"/>
    </xf>
    <xf numFmtId="0" fontId="17" fillId="0" borderId="3" xfId="8" applyFont="1" applyBorder="1" applyAlignment="1">
      <alignment horizontal="center" vertical="center"/>
    </xf>
    <xf numFmtId="176" fontId="17" fillId="0" borderId="4" xfId="8" applyNumberFormat="1" applyFont="1" applyBorder="1" applyAlignment="1">
      <alignment horizontal="center" vertical="center"/>
    </xf>
    <xf numFmtId="176" fontId="17" fillId="0" borderId="3" xfId="8" applyNumberFormat="1" applyFont="1" applyBorder="1" applyAlignment="1">
      <alignment horizontal="center" vertical="center"/>
    </xf>
    <xf numFmtId="0" fontId="17" fillId="0" borderId="5" xfId="8" applyFont="1" applyBorder="1" applyAlignment="1">
      <alignment horizontal="center" vertical="center"/>
    </xf>
    <xf numFmtId="0" fontId="24" fillId="0" borderId="0" xfId="8" applyFont="1" applyAlignment="1">
      <alignment horizontal="left"/>
    </xf>
    <xf numFmtId="14" fontId="24" fillId="0" borderId="0" xfId="8" applyNumberFormat="1" applyFont="1" applyAlignment="1">
      <alignment horizontal="left"/>
    </xf>
    <xf numFmtId="0" fontId="18" fillId="3" borderId="16" xfId="11" applyFont="1" applyFill="1" applyBorder="1" applyAlignment="1">
      <alignment horizontal="center" vertical="center" shrinkToFit="1"/>
    </xf>
    <xf numFmtId="0" fontId="18" fillId="3" borderId="17" xfId="11" applyFont="1" applyFill="1" applyBorder="1" applyAlignment="1">
      <alignment horizontal="center" vertical="center" shrinkToFit="1"/>
    </xf>
    <xf numFmtId="0" fontId="18" fillId="3" borderId="18" xfId="11" applyFont="1" applyFill="1" applyBorder="1" applyAlignment="1">
      <alignment horizontal="center" vertical="center" shrinkToFit="1"/>
    </xf>
    <xf numFmtId="0" fontId="39" fillId="0" borderId="0" xfId="8" applyFont="1" applyAlignment="1">
      <alignment horizontal="left" vertical="center" wrapText="1" indent="1"/>
    </xf>
    <xf numFmtId="0" fontId="39" fillId="0" borderId="0" xfId="8" applyFont="1" applyAlignment="1">
      <alignment horizontal="left" vertical="center" indent="1"/>
    </xf>
    <xf numFmtId="0" fontId="20" fillId="0" borderId="12" xfId="11" applyFont="1" applyBorder="1" applyAlignment="1">
      <alignment horizontal="center" vertical="center" wrapText="1"/>
    </xf>
    <xf numFmtId="180" fontId="20" fillId="5" borderId="10" xfId="11" applyNumberFormat="1" applyFont="1" applyFill="1" applyBorder="1" applyAlignment="1">
      <alignment horizontal="left" vertical="center" indent="1" shrinkToFit="1"/>
    </xf>
  </cellXfs>
  <cellStyles count="13">
    <cellStyle name="쉼표 [0] 2" xfId="1" xr:uid="{00000000-0005-0000-0000-000000000000}"/>
    <cellStyle name="표준" xfId="0" builtinId="0"/>
    <cellStyle name="표준 10" xfId="2" xr:uid="{00000000-0005-0000-0000-000002000000}"/>
    <cellStyle name="표준 2" xfId="3" xr:uid="{00000000-0005-0000-0000-000003000000}"/>
    <cellStyle name="표준 2 2" xfId="4" xr:uid="{00000000-0005-0000-0000-000004000000}"/>
    <cellStyle name="표준 2 3" xfId="5" xr:uid="{00000000-0005-0000-0000-000005000000}"/>
    <cellStyle name="표준 2 4" xfId="6" xr:uid="{00000000-0005-0000-0000-000006000000}"/>
    <cellStyle name="표준 3" xfId="7" xr:uid="{00000000-0005-0000-0000-000007000000}"/>
    <cellStyle name="표준 3 10" xfId="8" xr:uid="{00000000-0005-0000-0000-000008000000}"/>
    <cellStyle name="표준 3 10 2" xfId="9" xr:uid="{00000000-0005-0000-0000-000009000000}"/>
    <cellStyle name="표준 4" xfId="10" xr:uid="{00000000-0005-0000-0000-00000A000000}"/>
    <cellStyle name="표준 5" xfId="11" xr:uid="{00000000-0005-0000-0000-00000B000000}"/>
    <cellStyle name="표준 7" xfId="12" xr:uid="{00000000-0005-0000-0000-00000C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466725</xdr:colOff>
      <xdr:row>15</xdr:row>
      <xdr:rowOff>114299</xdr:rowOff>
    </xdr:from>
    <xdr:to>
      <xdr:col>20</xdr:col>
      <xdr:colOff>190500</xdr:colOff>
      <xdr:row>18</xdr:row>
      <xdr:rowOff>285749</xdr:rowOff>
    </xdr:to>
    <xdr:grpSp>
      <xdr:nvGrpSpPr>
        <xdr:cNvPr id="1152" name="그룹 1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GrpSpPr>
          <a:grpSpLocks/>
        </xdr:cNvGrpSpPr>
      </xdr:nvGrpSpPr>
      <xdr:grpSpPr bwMode="auto">
        <a:xfrm>
          <a:off x="8877300" y="5067299"/>
          <a:ext cx="6581775" cy="1114425"/>
          <a:chOff x="619125" y="4010025"/>
          <a:chExt cx="5610225" cy="2221923"/>
        </a:xfrm>
      </xdr:grpSpPr>
      <xdr:cxnSp macro="">
        <xdr:nvCxnSpPr>
          <xdr:cNvPr id="4" name="직선 연결선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619125" y="4010025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619125" y="6231948"/>
            <a:ext cx="5610225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직선 화살표 연결선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619125" y="4010025"/>
            <a:ext cx="5602324" cy="2212964"/>
          </a:xfrm>
          <a:prstGeom prst="straightConnector1">
            <a:avLst/>
          </a:prstGeom>
          <a:ln w="19050">
            <a:solidFill>
              <a:schemeClr val="tx1"/>
            </a:solidFill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317996" y="4879084"/>
            <a:ext cx="1912218" cy="456928"/>
          </a:xfrm>
          <a:prstGeom prst="rect">
            <a:avLst/>
          </a:prstGeom>
          <a:ln w="1905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rtlCol="0" anchor="ctr"/>
          <a:lstStyle/>
          <a:p>
            <a:pPr algn="ctr"/>
            <a:r>
              <a:rPr lang="en-US" altLang="ko-KR" sz="1800" b="1"/>
              <a:t>B  L  A  N  K</a:t>
            </a:r>
            <a:endParaRPr lang="ko-KR" altLang="en-US" sz="1800" b="1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120;&#49689;\&#51060;&#48120;&#49689;\&#49373;&#49328;&#51068;&#51221;\ISA&#44032;&#4427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A3월"/>
      <sheetName val="96갑지"/>
      <sheetName val="PPS2"/>
      <sheetName val="비목계산"/>
      <sheetName val="choose"/>
      <sheetName val="미익SUB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48572"/>
  <sheetViews>
    <sheetView topLeftCell="A11" workbookViewId="0">
      <selection activeCell="K27" sqref="K27"/>
    </sheetView>
  </sheetViews>
  <sheetFormatPr defaultRowHeight="13.5" customHeight="1" x14ac:dyDescent="0.3"/>
  <cols>
    <col min="1" max="1" width="1.875" style="1" customWidth="1"/>
    <col min="2" max="2" width="5.375" style="1" customWidth="1"/>
    <col min="3" max="3" width="16.25" style="1" bestFit="1" customWidth="1"/>
    <col min="4" max="4" width="12.875" style="1" customWidth="1"/>
    <col min="5" max="8" width="14" style="1" customWidth="1"/>
    <col min="9" max="16384" width="9" style="1"/>
  </cols>
  <sheetData>
    <row r="1" spans="2:8" ht="35.25" x14ac:dyDescent="0.3">
      <c r="B1" s="60" t="s">
        <v>4</v>
      </c>
      <c r="C1" s="61"/>
      <c r="D1" s="61"/>
      <c r="E1" s="61"/>
      <c r="F1" s="61"/>
      <c r="G1" s="61"/>
      <c r="H1" s="61"/>
    </row>
    <row r="2" spans="2:8" ht="27" x14ac:dyDescent="0.3">
      <c r="B2" s="62"/>
      <c r="C2" s="63"/>
      <c r="D2" s="63"/>
      <c r="E2" s="63"/>
      <c r="F2" s="63"/>
      <c r="G2" s="63"/>
      <c r="H2" s="63"/>
    </row>
    <row r="3" spans="2:8" x14ac:dyDescent="0.3">
      <c r="B3" s="64"/>
      <c r="C3" s="64"/>
      <c r="D3" s="64"/>
      <c r="E3" s="64"/>
      <c r="F3" s="65"/>
      <c r="G3" s="66"/>
      <c r="H3" s="66"/>
    </row>
    <row r="4" spans="2:8" ht="39.950000000000003" customHeight="1" x14ac:dyDescent="0.3">
      <c r="B4" s="67" t="s">
        <v>32</v>
      </c>
      <c r="C4" s="68"/>
      <c r="D4" s="68"/>
      <c r="E4" s="68"/>
      <c r="F4" s="69"/>
      <c r="G4" s="69"/>
      <c r="H4" s="69"/>
    </row>
    <row r="5" spans="2:8" ht="21" customHeight="1" x14ac:dyDescent="0.3">
      <c r="B5" s="87" t="s">
        <v>36</v>
      </c>
      <c r="C5" s="87"/>
      <c r="D5" s="87"/>
      <c r="E5" s="87"/>
      <c r="F5" s="70" t="s">
        <v>33</v>
      </c>
      <c r="G5" s="70"/>
      <c r="H5" s="70"/>
    </row>
    <row r="6" spans="2:8" ht="24.75" customHeight="1" x14ac:dyDescent="0.3">
      <c r="B6" s="87" t="s">
        <v>3</v>
      </c>
      <c r="C6" s="87"/>
      <c r="D6" s="87"/>
      <c r="E6" s="87"/>
      <c r="F6" s="70" t="s">
        <v>29</v>
      </c>
      <c r="G6" s="70"/>
      <c r="H6" s="70"/>
    </row>
    <row r="7" spans="2:8" ht="24.75" customHeight="1" x14ac:dyDescent="0.3">
      <c r="B7" s="87" t="s">
        <v>41</v>
      </c>
      <c r="C7" s="87"/>
      <c r="D7" s="87"/>
      <c r="E7" s="87"/>
      <c r="F7" s="88" t="s">
        <v>30</v>
      </c>
      <c r="G7" s="88"/>
      <c r="H7" s="88"/>
    </row>
    <row r="8" spans="2:8" ht="24.75" customHeight="1" x14ac:dyDescent="0.3">
      <c r="B8" s="71" t="s">
        <v>28</v>
      </c>
      <c r="C8" s="70"/>
      <c r="D8" s="70"/>
      <c r="E8" s="70"/>
      <c r="F8" s="70" t="s">
        <v>31</v>
      </c>
      <c r="G8" s="70"/>
      <c r="H8" s="70"/>
    </row>
    <row r="9" spans="2:8" ht="24.75" customHeight="1" x14ac:dyDescent="0.3">
      <c r="B9" s="70" t="s">
        <v>2</v>
      </c>
      <c r="C9" s="70"/>
      <c r="D9" s="70"/>
      <c r="E9" s="70"/>
      <c r="F9" s="70" t="s">
        <v>40</v>
      </c>
      <c r="G9" s="70"/>
      <c r="H9" s="70"/>
    </row>
    <row r="10" spans="2:8" ht="24.75" customHeight="1" x14ac:dyDescent="0.3">
      <c r="B10" s="3"/>
      <c r="C10" s="3"/>
      <c r="D10" s="3"/>
      <c r="E10" s="3"/>
      <c r="F10" s="2"/>
      <c r="G10" s="3"/>
      <c r="H10" s="3"/>
    </row>
    <row r="11" spans="2:8" ht="24.75" customHeight="1" x14ac:dyDescent="0.3">
      <c r="B11" s="3"/>
      <c r="C11" s="3"/>
      <c r="D11" s="3"/>
      <c r="E11" s="3"/>
      <c r="F11" s="2"/>
      <c r="G11" s="3"/>
      <c r="H11" s="3"/>
    </row>
    <row r="12" spans="2:8" ht="24.75" customHeight="1" x14ac:dyDescent="0.3">
      <c r="B12" s="3"/>
      <c r="C12" s="3"/>
      <c r="D12" s="3"/>
      <c r="E12" s="3"/>
      <c r="F12" s="2"/>
      <c r="G12" s="3"/>
      <c r="H12" s="3"/>
    </row>
    <row r="13" spans="2:8" ht="24.75" customHeight="1" x14ac:dyDescent="0.3">
      <c r="B13" s="3"/>
      <c r="C13" s="3"/>
      <c r="D13" s="3"/>
      <c r="E13" s="3"/>
      <c r="F13" s="2"/>
      <c r="G13" s="3"/>
      <c r="H13" s="3"/>
    </row>
    <row r="14" spans="2:8" ht="24.75" customHeight="1" x14ac:dyDescent="0.3">
      <c r="B14" s="3"/>
      <c r="C14" s="3"/>
      <c r="D14" s="3"/>
      <c r="E14" s="3"/>
      <c r="F14" s="2"/>
      <c r="G14" s="3"/>
      <c r="H14" s="3"/>
    </row>
    <row r="15" spans="2:8" ht="30.75" customHeight="1" x14ac:dyDescent="0.3">
      <c r="B15" s="24" t="s">
        <v>1</v>
      </c>
      <c r="C15" s="93" t="s">
        <v>34</v>
      </c>
      <c r="D15" s="93"/>
      <c r="E15" s="93" t="s">
        <v>35</v>
      </c>
      <c r="F15" s="94"/>
      <c r="G15" s="89" t="s">
        <v>15</v>
      </c>
      <c r="H15" s="90"/>
    </row>
    <row r="16" spans="2:8" ht="24.75" customHeight="1" x14ac:dyDescent="0.3">
      <c r="B16" s="25">
        <f>ROW()-15</f>
        <v>1</v>
      </c>
      <c r="C16" s="83" t="str">
        <f>기계!$B7</f>
        <v>DN40-WH0170L</v>
      </c>
      <c r="D16" s="84"/>
      <c r="E16" s="85" t="str">
        <f>기계!$C7</f>
        <v>브래킷, 더미탄두용</v>
      </c>
      <c r="F16" s="84"/>
      <c r="G16" s="91">
        <f>기계!$V7</f>
        <v>230000</v>
      </c>
      <c r="H16" s="92"/>
    </row>
    <row r="17" spans="2:8" ht="24.75" customHeight="1" x14ac:dyDescent="0.3">
      <c r="B17" s="25">
        <f t="shared" ref="B17:B30" si="0">ROW()-15</f>
        <v>2</v>
      </c>
      <c r="C17" s="83" t="str">
        <f>기계!$B8</f>
        <v>DN40-WH0108L</v>
      </c>
      <c r="D17" s="84"/>
      <c r="E17" s="85" t="str">
        <f>기계!$C8</f>
        <v>더미중량, 추가용</v>
      </c>
      <c r="F17" s="86"/>
      <c r="G17" s="91">
        <f>기계!$V8</f>
        <v>220000</v>
      </c>
      <c r="H17" s="92"/>
    </row>
    <row r="18" spans="2:8" ht="24.75" customHeight="1" x14ac:dyDescent="0.3">
      <c r="B18" s="25">
        <f t="shared" si="0"/>
        <v>3</v>
      </c>
      <c r="C18" s="83" t="str">
        <f>기계!$B9</f>
        <v>DN40-MF0874L</v>
      </c>
      <c r="D18" s="84"/>
      <c r="E18" s="85" t="str">
        <f>기계!$C9</f>
        <v>가이드 블록</v>
      </c>
      <c r="F18" s="86"/>
      <c r="G18" s="91">
        <f>기계!$V9</f>
        <v>165000</v>
      </c>
      <c r="H18" s="92"/>
    </row>
    <row r="19" spans="2:8" ht="24.75" customHeight="1" x14ac:dyDescent="0.3">
      <c r="B19" s="25">
        <f t="shared" si="0"/>
        <v>4</v>
      </c>
      <c r="C19" s="83" t="str">
        <f>기계!$B10</f>
        <v>DN40-MF0882L</v>
      </c>
      <c r="D19" s="84"/>
      <c r="E19" s="85" t="str">
        <f>기계!$C10</f>
        <v xml:space="preserve">가이드 블록 </v>
      </c>
      <c r="F19" s="86"/>
      <c r="G19" s="91">
        <f>기계!$V10</f>
        <v>173000</v>
      </c>
      <c r="H19" s="92"/>
    </row>
    <row r="20" spans="2:8" ht="24.75" customHeight="1" x14ac:dyDescent="0.3">
      <c r="B20" s="25">
        <f t="shared" si="0"/>
        <v>5</v>
      </c>
      <c r="C20" s="83" t="str">
        <f>기계!$B11</f>
        <v>DN40-IC0025L</v>
      </c>
      <c r="D20" s="84"/>
      <c r="E20" s="85" t="str">
        <f>기계!$C11</f>
        <v>브래킷, 간격유지용</v>
      </c>
      <c r="F20" s="86"/>
      <c r="G20" s="91">
        <f>기계!$V11</f>
        <v>60000</v>
      </c>
      <c r="H20" s="92"/>
    </row>
    <row r="21" spans="2:8" ht="24.75" customHeight="1" x14ac:dyDescent="0.3">
      <c r="B21" s="25">
        <f t="shared" si="0"/>
        <v>6</v>
      </c>
      <c r="C21" s="83" t="str">
        <f>기계!$B12</f>
        <v>DN40-IC0026L</v>
      </c>
      <c r="D21" s="84"/>
      <c r="E21" s="85" t="str">
        <f>기계!$C12</f>
        <v>간격유지기</v>
      </c>
      <c r="F21" s="86"/>
      <c r="G21" s="91">
        <f>기계!$V12</f>
        <v>77000</v>
      </c>
      <c r="H21" s="92"/>
    </row>
    <row r="22" spans="2:8" ht="24.75" customHeight="1" x14ac:dyDescent="0.3">
      <c r="B22" s="25">
        <f t="shared" si="0"/>
        <v>7</v>
      </c>
      <c r="C22" s="83" t="str">
        <f>기계!$B13</f>
        <v>DN40-MW0103H</v>
      </c>
      <c r="D22" s="84"/>
      <c r="E22" s="85" t="str">
        <f>기계!$C13</f>
        <v>고정용 브래킷, 좌현용</v>
      </c>
      <c r="F22" s="86"/>
      <c r="G22" s="91">
        <f>기계!$V13</f>
        <v>856000</v>
      </c>
      <c r="H22" s="92"/>
    </row>
    <row r="23" spans="2:8" ht="24.75" customHeight="1" x14ac:dyDescent="0.3">
      <c r="B23" s="25">
        <f t="shared" si="0"/>
        <v>8</v>
      </c>
      <c r="C23" s="83" t="str">
        <f>기계!$B14</f>
        <v>DN40-MW0203H</v>
      </c>
      <c r="D23" s="84"/>
      <c r="E23" s="85" t="str">
        <f>기계!$C14</f>
        <v>고정용 브래킷, 우현용</v>
      </c>
      <c r="F23" s="86"/>
      <c r="G23" s="91">
        <f>기계!$V14</f>
        <v>856000</v>
      </c>
      <c r="H23" s="92"/>
    </row>
    <row r="24" spans="2:8" ht="24.75" customHeight="1" x14ac:dyDescent="0.3">
      <c r="B24" s="25">
        <f t="shared" si="0"/>
        <v>9</v>
      </c>
      <c r="C24" s="83" t="str">
        <f>기계!$B15</f>
        <v>DN40-MW0116L</v>
      </c>
      <c r="D24" s="84"/>
      <c r="E24" s="85" t="str">
        <f>기계!$C15</f>
        <v>마개</v>
      </c>
      <c r="F24" s="86"/>
      <c r="G24" s="91">
        <f>기계!$V15</f>
        <v>242000</v>
      </c>
      <c r="H24" s="92"/>
    </row>
    <row r="25" spans="2:8" ht="24.75" customHeight="1" x14ac:dyDescent="0.3">
      <c r="B25" s="25">
        <f t="shared" si="0"/>
        <v>10</v>
      </c>
      <c r="C25" s="83" t="str">
        <f>기계!$B16</f>
        <v>DN40-NW0114L</v>
      </c>
      <c r="D25" s="84"/>
      <c r="E25" s="85" t="str">
        <f>기계!$C16</f>
        <v>축, 센서용</v>
      </c>
      <c r="F25" s="86"/>
      <c r="G25" s="91">
        <f>기계!$V16</f>
        <v>42000</v>
      </c>
      <c r="H25" s="92"/>
    </row>
    <row r="26" spans="2:8" ht="24.75" customHeight="1" x14ac:dyDescent="0.3">
      <c r="B26" s="25">
        <f t="shared" si="0"/>
        <v>11</v>
      </c>
      <c r="C26" s="83" t="str">
        <f>기계!$B17</f>
        <v>DN40-MW0115L</v>
      </c>
      <c r="D26" s="84"/>
      <c r="E26" s="85" t="str">
        <f>기계!$C17</f>
        <v>와셔</v>
      </c>
      <c r="F26" s="86"/>
      <c r="G26" s="91">
        <f>기계!$V17</f>
        <v>188000</v>
      </c>
      <c r="H26" s="92"/>
    </row>
    <row r="27" spans="2:8" ht="24.75" customHeight="1" x14ac:dyDescent="0.3">
      <c r="B27" s="25">
        <f t="shared" si="0"/>
        <v>12</v>
      </c>
      <c r="C27" s="83" t="str">
        <f>기계!$B18</f>
        <v>DN40-WH0106L</v>
      </c>
      <c r="D27" s="84"/>
      <c r="E27" s="85" t="str">
        <f>기계!$C18</f>
        <v>너트, 더미 탄두용</v>
      </c>
      <c r="F27" s="86"/>
      <c r="G27" s="91">
        <f>기계!$V18</f>
        <v>130000</v>
      </c>
      <c r="H27" s="92"/>
    </row>
    <row r="28" spans="2:8" ht="24.75" customHeight="1" x14ac:dyDescent="0.3">
      <c r="B28" s="25">
        <f t="shared" si="0"/>
        <v>13</v>
      </c>
      <c r="C28" s="83" t="str">
        <f>기계!$B19</f>
        <v>DN40-MF0872L</v>
      </c>
      <c r="D28" s="84"/>
      <c r="E28" s="85" t="str">
        <f>기계!$C19</f>
        <v>위치핀, 탄두지지용</v>
      </c>
      <c r="F28" s="86"/>
      <c r="G28" s="91">
        <f>기계!$V19</f>
        <v>92000</v>
      </c>
      <c r="H28" s="92"/>
    </row>
    <row r="29" spans="2:8" ht="24.75" customHeight="1" x14ac:dyDescent="0.3">
      <c r="B29" s="25">
        <f t="shared" si="0"/>
        <v>14</v>
      </c>
      <c r="C29" s="83" t="str">
        <f>기계!$B20</f>
        <v>DN40-MF0873L</v>
      </c>
      <c r="D29" s="84"/>
      <c r="E29" s="85" t="str">
        <f>기계!$C20</f>
        <v>핀, 탄두지지용</v>
      </c>
      <c r="F29" s="86"/>
      <c r="G29" s="91">
        <f>기계!$V20</f>
        <v>117000</v>
      </c>
      <c r="H29" s="92"/>
    </row>
    <row r="30" spans="2:8" ht="24.75" customHeight="1" x14ac:dyDescent="0.3">
      <c r="B30" s="25">
        <f t="shared" si="0"/>
        <v>15</v>
      </c>
      <c r="C30" s="83" t="str">
        <f>기계!$B21</f>
        <v>DN40-MF0883L</v>
      </c>
      <c r="D30" s="84"/>
      <c r="E30" s="85" t="str">
        <f>기계!$C21</f>
        <v xml:space="preserve">위치핀, 탄두지지용 </v>
      </c>
      <c r="F30" s="86"/>
      <c r="G30" s="91">
        <f>기계!$V21</f>
        <v>92000</v>
      </c>
      <c r="H30" s="92"/>
    </row>
    <row r="31" spans="2:8" ht="24.75" customHeight="1" x14ac:dyDescent="0.3">
      <c r="B31" s="93" t="s">
        <v>0</v>
      </c>
      <c r="C31" s="97"/>
      <c r="D31" s="97"/>
      <c r="E31" s="95"/>
      <c r="F31" s="96"/>
      <c r="G31" s="95">
        <f>기계!V23</f>
        <v>3540000</v>
      </c>
      <c r="H31" s="96"/>
    </row>
    <row r="32" spans="2:8" ht="10.5" customHeight="1" x14ac:dyDescent="0.3">
      <c r="B32" s="4"/>
      <c r="C32" s="4"/>
      <c r="D32" s="4"/>
      <c r="E32" s="4"/>
      <c r="F32" s="4"/>
      <c r="G32" s="4"/>
      <c r="H32" s="4"/>
    </row>
    <row r="33" spans="2:8" x14ac:dyDescent="0.3">
      <c r="B33" s="3"/>
      <c r="C33" s="2"/>
      <c r="D33" s="2"/>
      <c r="E33" s="2"/>
      <c r="F33" s="2"/>
      <c r="G33" s="2"/>
      <c r="H33" s="2"/>
    </row>
    <row r="34" spans="2:8" x14ac:dyDescent="0.3">
      <c r="B34" s="2"/>
      <c r="C34" s="2"/>
      <c r="D34" s="2"/>
      <c r="E34" s="2"/>
      <c r="F34" s="2"/>
      <c r="G34" s="2"/>
      <c r="H34" s="2"/>
    </row>
    <row r="35" spans="2:8" x14ac:dyDescent="0.3">
      <c r="B35" s="2"/>
      <c r="C35" s="2"/>
      <c r="D35" s="2"/>
      <c r="E35" s="2"/>
      <c r="F35" s="2"/>
      <c r="G35" s="2"/>
      <c r="H35" s="2"/>
    </row>
    <row r="36" spans="2:8" x14ac:dyDescent="0.3">
      <c r="B36" s="2"/>
      <c r="C36" s="2"/>
      <c r="D36" s="2"/>
      <c r="E36" s="2"/>
      <c r="F36" s="2"/>
      <c r="G36" s="2"/>
      <c r="H36" s="2"/>
    </row>
    <row r="37" spans="2:8" x14ac:dyDescent="0.3">
      <c r="B37" s="2"/>
      <c r="C37" s="2"/>
      <c r="D37" s="2"/>
      <c r="E37" s="2"/>
      <c r="F37" s="2"/>
      <c r="G37" s="2"/>
      <c r="H37" s="2"/>
    </row>
    <row r="38" spans="2:8" x14ac:dyDescent="0.3">
      <c r="B38" s="2"/>
      <c r="C38" s="2"/>
      <c r="D38" s="2"/>
      <c r="E38" s="2"/>
      <c r="F38" s="2"/>
      <c r="G38" s="2"/>
      <c r="H38" s="2"/>
    </row>
    <row r="39" spans="2:8" x14ac:dyDescent="0.3"/>
    <row r="40" spans="2:8" x14ac:dyDescent="0.3"/>
    <row r="41" spans="2:8" x14ac:dyDescent="0.3"/>
    <row r="42" spans="2:8" x14ac:dyDescent="0.3"/>
    <row r="43" spans="2:8" x14ac:dyDescent="0.3"/>
    <row r="1048572" spans="3:4" ht="13.5" customHeight="1" x14ac:dyDescent="0.3">
      <c r="C1048572" s="83"/>
      <c r="D1048572" s="83"/>
    </row>
  </sheetData>
  <mergeCells count="56">
    <mergeCell ref="G30:H30"/>
    <mergeCell ref="G25:H25"/>
    <mergeCell ref="G26:H26"/>
    <mergeCell ref="G27:H27"/>
    <mergeCell ref="G28:H28"/>
    <mergeCell ref="G29:H29"/>
    <mergeCell ref="E26:F26"/>
    <mergeCell ref="E27:F27"/>
    <mergeCell ref="E28:F28"/>
    <mergeCell ref="E29:F29"/>
    <mergeCell ref="E30:F30"/>
    <mergeCell ref="G17:H17"/>
    <mergeCell ref="G18:H18"/>
    <mergeCell ref="G19:H19"/>
    <mergeCell ref="G20:H20"/>
    <mergeCell ref="G21:H21"/>
    <mergeCell ref="G31:H31"/>
    <mergeCell ref="C21:D21"/>
    <mergeCell ref="B31:D31"/>
    <mergeCell ref="E31:F31"/>
    <mergeCell ref="E21:F21"/>
    <mergeCell ref="G22:H22"/>
    <mergeCell ref="G23:H23"/>
    <mergeCell ref="G24:H24"/>
    <mergeCell ref="C25:D25"/>
    <mergeCell ref="C26:D26"/>
    <mergeCell ref="C27:D27"/>
    <mergeCell ref="C28:D28"/>
    <mergeCell ref="C29:D29"/>
    <mergeCell ref="C30:D30"/>
    <mergeCell ref="E25:F25"/>
    <mergeCell ref="C18:D18"/>
    <mergeCell ref="C20:D20"/>
    <mergeCell ref="E20:F20"/>
    <mergeCell ref="C19:D19"/>
    <mergeCell ref="E19:F19"/>
    <mergeCell ref="E18:F18"/>
    <mergeCell ref="E22:F22"/>
    <mergeCell ref="E23:F23"/>
    <mergeCell ref="E24:F24"/>
    <mergeCell ref="B5:E5"/>
    <mergeCell ref="B6:E6"/>
    <mergeCell ref="B7:E7"/>
    <mergeCell ref="F7:H7"/>
    <mergeCell ref="C16:D16"/>
    <mergeCell ref="E16:F16"/>
    <mergeCell ref="G15:H15"/>
    <mergeCell ref="G16:H16"/>
    <mergeCell ref="E15:F15"/>
    <mergeCell ref="C15:D15"/>
    <mergeCell ref="C17:D17"/>
    <mergeCell ref="E17:F17"/>
    <mergeCell ref="C1048572:D1048572"/>
    <mergeCell ref="C22:D22"/>
    <mergeCell ref="C23:D23"/>
    <mergeCell ref="C24:D24"/>
  </mergeCells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8"/>
  <sheetViews>
    <sheetView tabSelected="1" zoomScale="85" zoomScaleNormal="85" workbookViewId="0">
      <selection activeCell="P27" sqref="P27:V27"/>
    </sheetView>
  </sheetViews>
  <sheetFormatPr defaultRowHeight="12" x14ac:dyDescent="0.3"/>
  <cols>
    <col min="1" max="1" width="6.25" style="6" customWidth="1"/>
    <col min="2" max="2" width="14.375" style="6" bestFit="1" customWidth="1"/>
    <col min="3" max="3" width="32" style="6" customWidth="1"/>
    <col min="4" max="4" width="25.375" style="6" bestFit="1" customWidth="1"/>
    <col min="5" max="5" width="23.75" style="6" bestFit="1" customWidth="1"/>
    <col min="6" max="6" width="4.5" style="6" customWidth="1"/>
    <col min="7" max="7" width="20.125" style="6" bestFit="1" customWidth="1"/>
    <col min="8" max="8" width="7.75" style="27" bestFit="1" customWidth="1"/>
    <col min="9" max="9" width="9.125" style="31" bestFit="1" customWidth="1"/>
    <col min="10" max="10" width="8.75" style="35" bestFit="1" customWidth="1"/>
    <col min="11" max="17" width="7.75" style="6" customWidth="1"/>
    <col min="18" max="18" width="11.125" style="6" customWidth="1"/>
    <col min="19" max="19" width="13.125" style="6" customWidth="1"/>
    <col min="20" max="20" width="6.25" style="6" customWidth="1"/>
    <col min="21" max="22" width="12" style="6" bestFit="1" customWidth="1"/>
    <col min="23" max="16384" width="9" style="6"/>
  </cols>
  <sheetData>
    <row r="1" spans="1:22" ht="17.25" x14ac:dyDescent="0.3">
      <c r="A1" s="5" t="s">
        <v>21</v>
      </c>
      <c r="K1" s="7"/>
      <c r="L1" s="7"/>
      <c r="M1" s="7"/>
      <c r="N1" s="7"/>
      <c r="O1" s="7"/>
      <c r="P1" s="7"/>
      <c r="Q1" s="7"/>
      <c r="R1" s="7"/>
      <c r="S1" s="7"/>
    </row>
    <row r="2" spans="1:22" ht="17.25" x14ac:dyDescent="0.3">
      <c r="A2" s="8" t="s">
        <v>22</v>
      </c>
    </row>
    <row r="3" spans="1:22" ht="13.5" customHeight="1" x14ac:dyDescent="0.3">
      <c r="A3" s="8"/>
    </row>
    <row r="4" spans="1:22" ht="16.5" x14ac:dyDescent="0.3">
      <c r="A4" s="9"/>
      <c r="B4" s="9"/>
      <c r="C4" s="9"/>
      <c r="D4" s="9"/>
      <c r="E4" s="9"/>
      <c r="F4" s="9"/>
      <c r="G4" s="9"/>
      <c r="H4" s="28"/>
      <c r="I4" s="32"/>
      <c r="J4" s="36"/>
    </row>
    <row r="5" spans="1:22" ht="13.5" customHeight="1" thickBot="1" x14ac:dyDescent="0.25">
      <c r="A5" s="10"/>
      <c r="B5" s="11"/>
      <c r="C5" s="11"/>
      <c r="D5" s="11"/>
      <c r="E5" s="12"/>
      <c r="F5" s="12"/>
      <c r="G5" s="12"/>
      <c r="H5" s="29"/>
      <c r="I5" s="33"/>
      <c r="J5" s="37"/>
      <c r="K5" s="59">
        <v>70000</v>
      </c>
      <c r="L5" s="59">
        <v>50000</v>
      </c>
      <c r="M5" s="59">
        <v>40000</v>
      </c>
      <c r="N5" s="59">
        <v>35000</v>
      </c>
      <c r="O5" s="59">
        <v>20000</v>
      </c>
      <c r="P5" s="59">
        <v>15600</v>
      </c>
      <c r="Q5" s="59">
        <v>30000</v>
      </c>
      <c r="R5" s="59">
        <v>35000</v>
      </c>
      <c r="S5" s="59">
        <v>35000</v>
      </c>
    </row>
    <row r="6" spans="1:22" s="20" customFormat="1" ht="24.75" customHeight="1" x14ac:dyDescent="0.3">
      <c r="A6" s="52" t="s">
        <v>14</v>
      </c>
      <c r="B6" s="53" t="s">
        <v>25</v>
      </c>
      <c r="C6" s="54" t="s">
        <v>26</v>
      </c>
      <c r="D6" s="54" t="s">
        <v>23</v>
      </c>
      <c r="E6" s="55" t="s">
        <v>27</v>
      </c>
      <c r="F6" s="55" t="s">
        <v>16</v>
      </c>
      <c r="G6" s="53" t="s">
        <v>17</v>
      </c>
      <c r="H6" s="100" t="s">
        <v>24</v>
      </c>
      <c r="I6" s="101"/>
      <c r="J6" s="102"/>
      <c r="K6" s="56" t="s">
        <v>13</v>
      </c>
      <c r="L6" s="56" t="s">
        <v>39</v>
      </c>
      <c r="M6" s="56" t="s">
        <v>12</v>
      </c>
      <c r="N6" s="56" t="s">
        <v>11</v>
      </c>
      <c r="O6" s="56" t="s">
        <v>10</v>
      </c>
      <c r="P6" s="56" t="s">
        <v>9</v>
      </c>
      <c r="Q6" s="56" t="s">
        <v>8</v>
      </c>
      <c r="R6" s="56" t="s">
        <v>7</v>
      </c>
      <c r="S6" s="57" t="s">
        <v>6</v>
      </c>
      <c r="T6" s="58" t="s">
        <v>5</v>
      </c>
      <c r="U6" s="72" t="s">
        <v>38</v>
      </c>
      <c r="V6" s="58" t="s">
        <v>18</v>
      </c>
    </row>
    <row r="7" spans="1:22" s="19" customFormat="1" ht="30" customHeight="1" x14ac:dyDescent="0.3">
      <c r="A7" s="21">
        <f>ROW()-6</f>
        <v>1</v>
      </c>
      <c r="B7" s="78" t="s">
        <v>42</v>
      </c>
      <c r="C7" s="78" t="s">
        <v>43</v>
      </c>
      <c r="D7" s="77"/>
      <c r="E7" s="82"/>
      <c r="F7" s="22">
        <v>1</v>
      </c>
      <c r="G7" s="81" t="s">
        <v>44</v>
      </c>
      <c r="H7" s="48">
        <v>35</v>
      </c>
      <c r="I7" s="49">
        <v>55</v>
      </c>
      <c r="J7" s="50">
        <v>80</v>
      </c>
      <c r="K7" s="23">
        <v>2</v>
      </c>
      <c r="L7" s="23"/>
      <c r="M7" s="23">
        <v>0</v>
      </c>
      <c r="N7" s="23"/>
      <c r="O7" s="23">
        <v>0.5</v>
      </c>
      <c r="P7" s="23">
        <v>1</v>
      </c>
      <c r="Q7" s="23">
        <v>1</v>
      </c>
      <c r="R7" s="23"/>
      <c r="S7" s="23">
        <v>1</v>
      </c>
      <c r="T7" s="75">
        <f>SUM($K7:$S7)</f>
        <v>5.5</v>
      </c>
      <c r="U7" s="73">
        <f>(K7*$K$5+L7*$L$5+M7*$M$5+N7*$N$5+O7*$O$5+P7*$P$5+Q7*$Q$5+S7*$S$5+R7*$R$5)*$F7</f>
        <v>230600</v>
      </c>
      <c r="V7" s="51">
        <f>ROUNDDOWN($U7,-3)</f>
        <v>230000</v>
      </c>
    </row>
    <row r="8" spans="1:22" s="19" customFormat="1" ht="30" customHeight="1" x14ac:dyDescent="0.3">
      <c r="A8" s="21">
        <f t="shared" ref="A8:A22" si="0">ROW()-6</f>
        <v>2</v>
      </c>
      <c r="B8" s="78" t="s">
        <v>45</v>
      </c>
      <c r="C8" s="78" t="s">
        <v>46</v>
      </c>
      <c r="D8" s="77" t="s">
        <v>47</v>
      </c>
      <c r="E8" s="26"/>
      <c r="F8" s="22">
        <v>1</v>
      </c>
      <c r="G8" s="81" t="s">
        <v>44</v>
      </c>
      <c r="H8" s="48">
        <v>12</v>
      </c>
      <c r="I8" s="49">
        <v>300</v>
      </c>
      <c r="J8" s="50">
        <v>300</v>
      </c>
      <c r="K8" s="23"/>
      <c r="L8" s="23"/>
      <c r="M8" s="23">
        <v>3</v>
      </c>
      <c r="N8" s="23"/>
      <c r="O8" s="23">
        <v>1</v>
      </c>
      <c r="P8" s="23">
        <v>1</v>
      </c>
      <c r="Q8" s="23">
        <v>1</v>
      </c>
      <c r="R8" s="23"/>
      <c r="S8" s="23">
        <v>1</v>
      </c>
      <c r="T8" s="75">
        <f t="shared" ref="T8:T22" si="1">SUM($K8:$S8)</f>
        <v>7</v>
      </c>
      <c r="U8" s="73">
        <f t="shared" ref="U8" si="2">(K8*$K$5+L8*$L$5+M8*$M$5+N8*$N$5+O8*$O$5+P8*$P$5+Q8*$Q$5+S8*$S$5+R8*$R$5)*$F8</f>
        <v>220600</v>
      </c>
      <c r="V8" s="51">
        <f t="shared" ref="V8:V22" si="3">ROUNDDOWN($U8,-3)</f>
        <v>220000</v>
      </c>
    </row>
    <row r="9" spans="1:22" s="19" customFormat="1" ht="30" customHeight="1" x14ac:dyDescent="0.3">
      <c r="A9" s="21">
        <f t="shared" si="0"/>
        <v>3</v>
      </c>
      <c r="B9" s="106" t="s">
        <v>48</v>
      </c>
      <c r="C9" s="78" t="s">
        <v>49</v>
      </c>
      <c r="D9" s="77" t="s">
        <v>51</v>
      </c>
      <c r="E9" s="26" t="s">
        <v>52</v>
      </c>
      <c r="F9" s="22">
        <v>1</v>
      </c>
      <c r="G9" s="81" t="s">
        <v>50</v>
      </c>
      <c r="H9" s="48">
        <v>10</v>
      </c>
      <c r="I9" s="49">
        <v>15</v>
      </c>
      <c r="J9" s="50">
        <v>55</v>
      </c>
      <c r="K9" s="23"/>
      <c r="L9" s="23"/>
      <c r="M9" s="23">
        <v>1</v>
      </c>
      <c r="N9" s="23"/>
      <c r="O9" s="23">
        <v>0.5</v>
      </c>
      <c r="P9" s="23">
        <v>1</v>
      </c>
      <c r="Q9" s="23">
        <v>1</v>
      </c>
      <c r="R9" s="23">
        <v>1</v>
      </c>
      <c r="S9" s="23">
        <v>1</v>
      </c>
      <c r="T9" s="75">
        <f t="shared" si="1"/>
        <v>5.5</v>
      </c>
      <c r="U9" s="73">
        <f t="shared" ref="U9:U12" si="4">(K9*$K$5+L9*$L$5+M9*$M$5+N9*$N$5+O9*$O$5+P9*$P$5+Q9*$Q$5+S9*$S$5+R9*$R$5)*$F9</f>
        <v>165600</v>
      </c>
      <c r="V9" s="51">
        <f t="shared" si="3"/>
        <v>165000</v>
      </c>
    </row>
    <row r="10" spans="1:22" s="19" customFormat="1" ht="30" customHeight="1" x14ac:dyDescent="0.3">
      <c r="A10" s="21">
        <f t="shared" si="0"/>
        <v>4</v>
      </c>
      <c r="B10" s="106" t="s">
        <v>53</v>
      </c>
      <c r="C10" s="78" t="s">
        <v>54</v>
      </c>
      <c r="D10" s="77" t="s">
        <v>51</v>
      </c>
      <c r="E10" s="26" t="s">
        <v>52</v>
      </c>
      <c r="F10" s="22">
        <v>1</v>
      </c>
      <c r="G10" s="81" t="s">
        <v>50</v>
      </c>
      <c r="H10" s="48">
        <v>10</v>
      </c>
      <c r="I10" s="49">
        <v>18</v>
      </c>
      <c r="J10" s="50">
        <v>55</v>
      </c>
      <c r="K10" s="23"/>
      <c r="L10" s="23"/>
      <c r="M10" s="23">
        <v>1.2</v>
      </c>
      <c r="N10" s="23"/>
      <c r="O10" s="23">
        <v>0.5</v>
      </c>
      <c r="P10" s="23">
        <v>1</v>
      </c>
      <c r="Q10" s="23">
        <v>1</v>
      </c>
      <c r="R10" s="23">
        <v>1</v>
      </c>
      <c r="S10" s="23">
        <v>1</v>
      </c>
      <c r="T10" s="75">
        <f t="shared" si="1"/>
        <v>5.7</v>
      </c>
      <c r="U10" s="73">
        <f t="shared" si="4"/>
        <v>173600</v>
      </c>
      <c r="V10" s="51">
        <f t="shared" si="3"/>
        <v>173000</v>
      </c>
    </row>
    <row r="11" spans="1:22" s="19" customFormat="1" ht="30" customHeight="1" x14ac:dyDescent="0.3">
      <c r="A11" s="21">
        <f t="shared" si="0"/>
        <v>5</v>
      </c>
      <c r="B11" s="78" t="s">
        <v>55</v>
      </c>
      <c r="C11" s="78" t="s">
        <v>56</v>
      </c>
      <c r="D11" s="77" t="s">
        <v>47</v>
      </c>
      <c r="E11" s="26"/>
      <c r="F11" s="22">
        <v>1</v>
      </c>
      <c r="G11" s="81" t="s">
        <v>57</v>
      </c>
      <c r="H11" s="48">
        <v>2.54</v>
      </c>
      <c r="I11" s="49">
        <v>42</v>
      </c>
      <c r="J11" s="50">
        <v>42</v>
      </c>
      <c r="K11" s="23"/>
      <c r="L11" s="23"/>
      <c r="M11" s="23">
        <v>0.5</v>
      </c>
      <c r="N11" s="23"/>
      <c r="O11" s="23"/>
      <c r="P11" s="23">
        <v>0.5</v>
      </c>
      <c r="Q11" s="23">
        <v>0.5</v>
      </c>
      <c r="R11" s="23"/>
      <c r="S11" s="23">
        <v>0.5</v>
      </c>
      <c r="T11" s="75">
        <f t="shared" si="1"/>
        <v>2</v>
      </c>
      <c r="U11" s="73">
        <f t="shared" si="4"/>
        <v>60300</v>
      </c>
      <c r="V11" s="51">
        <f t="shared" si="3"/>
        <v>60000</v>
      </c>
    </row>
    <row r="12" spans="1:22" s="19" customFormat="1" ht="30" customHeight="1" x14ac:dyDescent="0.3">
      <c r="A12" s="21">
        <f t="shared" si="0"/>
        <v>6</v>
      </c>
      <c r="B12" s="78" t="s">
        <v>58</v>
      </c>
      <c r="C12" s="78" t="s">
        <v>59</v>
      </c>
      <c r="D12" s="77" t="s">
        <v>47</v>
      </c>
      <c r="E12" s="26"/>
      <c r="F12" s="22">
        <v>1</v>
      </c>
      <c r="G12" s="81" t="s">
        <v>60</v>
      </c>
      <c r="H12" s="48">
        <v>0.3</v>
      </c>
      <c r="I12" s="49">
        <v>42</v>
      </c>
      <c r="J12" s="50">
        <v>42</v>
      </c>
      <c r="K12" s="23"/>
      <c r="L12" s="23"/>
      <c r="M12" s="23">
        <v>0.5</v>
      </c>
      <c r="N12" s="23"/>
      <c r="O12" s="23"/>
      <c r="P12" s="23">
        <v>0.5</v>
      </c>
      <c r="Q12" s="23">
        <v>0.5</v>
      </c>
      <c r="R12" s="23"/>
      <c r="S12" s="23">
        <v>1</v>
      </c>
      <c r="T12" s="75">
        <f t="shared" si="1"/>
        <v>2.5</v>
      </c>
      <c r="U12" s="73">
        <f t="shared" si="4"/>
        <v>77800</v>
      </c>
      <c r="V12" s="51">
        <f t="shared" si="3"/>
        <v>77000</v>
      </c>
    </row>
    <row r="13" spans="1:22" s="19" customFormat="1" ht="30" customHeight="1" x14ac:dyDescent="0.3">
      <c r="A13" s="21">
        <f t="shared" si="0"/>
        <v>7</v>
      </c>
      <c r="B13" s="78" t="s">
        <v>61</v>
      </c>
      <c r="C13" s="78" t="s">
        <v>62</v>
      </c>
      <c r="D13" s="77" t="s">
        <v>63</v>
      </c>
      <c r="E13" s="26" t="s">
        <v>64</v>
      </c>
      <c r="F13" s="22">
        <v>1</v>
      </c>
      <c r="G13" s="81" t="s">
        <v>65</v>
      </c>
      <c r="H13" s="48">
        <v>65</v>
      </c>
      <c r="I13" s="49">
        <v>100</v>
      </c>
      <c r="J13" s="50">
        <v>220</v>
      </c>
      <c r="K13" s="23">
        <v>10</v>
      </c>
      <c r="L13" s="23"/>
      <c r="M13" s="23">
        <v>0.5</v>
      </c>
      <c r="N13" s="23"/>
      <c r="O13" s="23">
        <v>0.5</v>
      </c>
      <c r="P13" s="23">
        <v>2</v>
      </c>
      <c r="Q13" s="23">
        <v>2</v>
      </c>
      <c r="R13" s="23"/>
      <c r="S13" s="23">
        <v>1</v>
      </c>
      <c r="T13" s="75">
        <f t="shared" si="1"/>
        <v>16</v>
      </c>
      <c r="U13" s="73">
        <f t="shared" ref="U13:U22" si="5">(K13*$K$5+L13*$L$5+M13*$M$5+N13*$N$5+O13*$O$5+P13*$P$5+Q13*$Q$5+S13*$S$5+R13*$R$5)*$F13</f>
        <v>856200</v>
      </c>
      <c r="V13" s="51">
        <f t="shared" si="3"/>
        <v>856000</v>
      </c>
    </row>
    <row r="14" spans="1:22" s="19" customFormat="1" ht="30" customHeight="1" x14ac:dyDescent="0.3">
      <c r="A14" s="21">
        <f t="shared" si="0"/>
        <v>8</v>
      </c>
      <c r="B14" s="78" t="s">
        <v>66</v>
      </c>
      <c r="C14" s="78" t="s">
        <v>67</v>
      </c>
      <c r="D14" s="77" t="s">
        <v>63</v>
      </c>
      <c r="E14" s="26" t="s">
        <v>64</v>
      </c>
      <c r="F14" s="22">
        <v>1</v>
      </c>
      <c r="G14" s="81" t="s">
        <v>65</v>
      </c>
      <c r="H14" s="48">
        <v>65</v>
      </c>
      <c r="I14" s="49">
        <v>100</v>
      </c>
      <c r="J14" s="50">
        <v>220</v>
      </c>
      <c r="K14" s="23">
        <v>10</v>
      </c>
      <c r="L14" s="23"/>
      <c r="M14" s="23">
        <v>0.5</v>
      </c>
      <c r="N14" s="23"/>
      <c r="O14" s="23">
        <v>0.5</v>
      </c>
      <c r="P14" s="23">
        <v>2</v>
      </c>
      <c r="Q14" s="23">
        <v>2</v>
      </c>
      <c r="R14" s="23"/>
      <c r="S14" s="23">
        <v>1</v>
      </c>
      <c r="T14" s="75">
        <f t="shared" si="1"/>
        <v>16</v>
      </c>
      <c r="U14" s="73">
        <f t="shared" si="5"/>
        <v>856200</v>
      </c>
      <c r="V14" s="51">
        <f t="shared" si="3"/>
        <v>856000</v>
      </c>
    </row>
    <row r="15" spans="1:22" s="19" customFormat="1" ht="30" customHeight="1" x14ac:dyDescent="0.3">
      <c r="A15" s="21">
        <f t="shared" si="0"/>
        <v>9</v>
      </c>
      <c r="B15" s="78" t="s">
        <v>68</v>
      </c>
      <c r="C15" s="78" t="s">
        <v>69</v>
      </c>
      <c r="D15" s="77"/>
      <c r="E15" s="26"/>
      <c r="F15" s="22">
        <v>1</v>
      </c>
      <c r="G15" s="81" t="s">
        <v>70</v>
      </c>
      <c r="H15" s="48">
        <v>20</v>
      </c>
      <c r="I15" s="49">
        <v>250</v>
      </c>
      <c r="J15" s="50">
        <v>250</v>
      </c>
      <c r="K15" s="23"/>
      <c r="L15" s="23"/>
      <c r="M15" s="23">
        <v>4</v>
      </c>
      <c r="N15" s="23"/>
      <c r="O15" s="23">
        <v>0.5</v>
      </c>
      <c r="P15" s="23">
        <v>0.5</v>
      </c>
      <c r="Q15" s="23">
        <v>1</v>
      </c>
      <c r="R15" s="23"/>
      <c r="S15" s="23">
        <v>1</v>
      </c>
      <c r="T15" s="75">
        <f t="shared" si="1"/>
        <v>7</v>
      </c>
      <c r="U15" s="73">
        <f t="shared" ref="U15:U20" si="6">(K15*$K$5+L15*$L$5+M15*$M$5+N15*$N$5+O15*$O$5+P15*$P$5+Q15*$Q$5+S15*$S$5+R15*$R$5)*$F15</f>
        <v>242800</v>
      </c>
      <c r="V15" s="51">
        <f t="shared" si="3"/>
        <v>242000</v>
      </c>
    </row>
    <row r="16" spans="1:22" s="19" customFormat="1" ht="30" customHeight="1" x14ac:dyDescent="0.3">
      <c r="A16" s="21">
        <f t="shared" si="0"/>
        <v>10</v>
      </c>
      <c r="B16" s="106" t="s">
        <v>71</v>
      </c>
      <c r="C16" s="78" t="s">
        <v>72</v>
      </c>
      <c r="D16" s="77"/>
      <c r="E16" s="77" t="s">
        <v>73</v>
      </c>
      <c r="F16" s="22">
        <v>1</v>
      </c>
      <c r="G16" s="81" t="s">
        <v>74</v>
      </c>
      <c r="H16" s="48">
        <v>30</v>
      </c>
      <c r="I16" s="49"/>
      <c r="J16" s="50">
        <v>55</v>
      </c>
      <c r="K16" s="23"/>
      <c r="L16" s="23"/>
      <c r="M16" s="23"/>
      <c r="N16" s="23">
        <v>0.5</v>
      </c>
      <c r="O16" s="23"/>
      <c r="P16" s="23">
        <v>0.5</v>
      </c>
      <c r="Q16" s="23"/>
      <c r="R16" s="23"/>
      <c r="S16" s="23">
        <v>0.5</v>
      </c>
      <c r="T16" s="75">
        <f t="shared" si="1"/>
        <v>1.5</v>
      </c>
      <c r="U16" s="73">
        <f t="shared" si="6"/>
        <v>42800</v>
      </c>
      <c r="V16" s="51">
        <f t="shared" si="3"/>
        <v>42000</v>
      </c>
    </row>
    <row r="17" spans="1:22" s="19" customFormat="1" ht="30" customHeight="1" x14ac:dyDescent="0.3">
      <c r="A17" s="21">
        <f t="shared" si="0"/>
        <v>11</v>
      </c>
      <c r="B17" s="106" t="s">
        <v>75</v>
      </c>
      <c r="C17" s="78" t="s">
        <v>76</v>
      </c>
      <c r="D17" s="77" t="s">
        <v>78</v>
      </c>
      <c r="E17" s="26" t="s">
        <v>77</v>
      </c>
      <c r="F17" s="22">
        <v>1</v>
      </c>
      <c r="G17" s="81" t="s">
        <v>74</v>
      </c>
      <c r="H17" s="48">
        <v>1.5</v>
      </c>
      <c r="I17" s="49">
        <v>210</v>
      </c>
      <c r="J17" s="50">
        <v>210</v>
      </c>
      <c r="K17" s="23"/>
      <c r="L17" s="23"/>
      <c r="M17" s="23">
        <v>1.5</v>
      </c>
      <c r="N17" s="23"/>
      <c r="O17" s="23"/>
      <c r="P17" s="23">
        <v>1.5</v>
      </c>
      <c r="Q17" s="23"/>
      <c r="R17" s="23">
        <v>2</v>
      </c>
      <c r="S17" s="23">
        <v>1</v>
      </c>
      <c r="T17" s="75">
        <f t="shared" si="1"/>
        <v>6</v>
      </c>
      <c r="U17" s="73">
        <f t="shared" si="6"/>
        <v>188400</v>
      </c>
      <c r="V17" s="51">
        <f t="shared" si="3"/>
        <v>188000</v>
      </c>
    </row>
    <row r="18" spans="1:22" s="19" customFormat="1" ht="30" customHeight="1" x14ac:dyDescent="0.3">
      <c r="A18" s="21">
        <f t="shared" si="0"/>
        <v>12</v>
      </c>
      <c r="B18" s="106" t="s">
        <v>79</v>
      </c>
      <c r="C18" s="78" t="s">
        <v>80</v>
      </c>
      <c r="D18" s="77" t="s">
        <v>81</v>
      </c>
      <c r="E18" s="26" t="s">
        <v>82</v>
      </c>
      <c r="F18" s="22">
        <v>1</v>
      </c>
      <c r="G18" s="81" t="s">
        <v>83</v>
      </c>
      <c r="H18" s="48">
        <v>145</v>
      </c>
      <c r="I18" s="49"/>
      <c r="J18" s="50">
        <v>85</v>
      </c>
      <c r="K18" s="23"/>
      <c r="L18" s="23"/>
      <c r="M18" s="23">
        <v>0.5</v>
      </c>
      <c r="N18" s="23">
        <v>1.5</v>
      </c>
      <c r="O18" s="23"/>
      <c r="P18" s="23">
        <v>0.5</v>
      </c>
      <c r="Q18" s="23">
        <v>0.5</v>
      </c>
      <c r="R18" s="23"/>
      <c r="S18" s="23">
        <v>1</v>
      </c>
      <c r="T18" s="75">
        <f t="shared" si="1"/>
        <v>4</v>
      </c>
      <c r="U18" s="73">
        <f t="shared" si="6"/>
        <v>130300</v>
      </c>
      <c r="V18" s="51">
        <f t="shared" si="3"/>
        <v>130000</v>
      </c>
    </row>
    <row r="19" spans="1:22" s="19" customFormat="1" ht="30" customHeight="1" x14ac:dyDescent="0.3">
      <c r="A19" s="21">
        <f t="shared" si="0"/>
        <v>13</v>
      </c>
      <c r="B19" s="106" t="s">
        <v>84</v>
      </c>
      <c r="C19" s="78" t="s">
        <v>85</v>
      </c>
      <c r="D19" s="77" t="s">
        <v>86</v>
      </c>
      <c r="E19" s="26" t="s">
        <v>87</v>
      </c>
      <c r="F19" s="22">
        <v>1</v>
      </c>
      <c r="G19" s="81" t="s">
        <v>74</v>
      </c>
      <c r="H19" s="48">
        <v>25</v>
      </c>
      <c r="I19" s="49"/>
      <c r="J19" s="50">
        <v>85</v>
      </c>
      <c r="K19" s="23"/>
      <c r="L19" s="23"/>
      <c r="M19" s="23"/>
      <c r="N19" s="23">
        <v>1</v>
      </c>
      <c r="O19" s="23"/>
      <c r="P19" s="23">
        <v>0.5</v>
      </c>
      <c r="Q19" s="23">
        <v>0.5</v>
      </c>
      <c r="R19" s="23"/>
      <c r="S19" s="23">
        <v>1</v>
      </c>
      <c r="T19" s="75">
        <f t="shared" si="1"/>
        <v>3</v>
      </c>
      <c r="U19" s="73">
        <f t="shared" si="6"/>
        <v>92800</v>
      </c>
      <c r="V19" s="51">
        <f t="shared" si="3"/>
        <v>92000</v>
      </c>
    </row>
    <row r="20" spans="1:22" s="19" customFormat="1" ht="30" customHeight="1" x14ac:dyDescent="0.3">
      <c r="A20" s="21">
        <f t="shared" si="0"/>
        <v>14</v>
      </c>
      <c r="B20" s="106" t="s">
        <v>88</v>
      </c>
      <c r="C20" s="78" t="s">
        <v>89</v>
      </c>
      <c r="D20" s="77" t="s">
        <v>86</v>
      </c>
      <c r="E20" s="105" t="s">
        <v>90</v>
      </c>
      <c r="F20" s="22">
        <v>1</v>
      </c>
      <c r="G20" s="81" t="s">
        <v>74</v>
      </c>
      <c r="H20" s="48">
        <v>25</v>
      </c>
      <c r="I20" s="49"/>
      <c r="J20" s="50">
        <v>45</v>
      </c>
      <c r="K20" s="23"/>
      <c r="L20" s="23"/>
      <c r="M20" s="23"/>
      <c r="N20" s="23">
        <v>0.7</v>
      </c>
      <c r="O20" s="23"/>
      <c r="P20" s="23">
        <v>0.5</v>
      </c>
      <c r="Q20" s="23">
        <v>0.5</v>
      </c>
      <c r="R20" s="23">
        <v>1</v>
      </c>
      <c r="S20" s="23">
        <v>1</v>
      </c>
      <c r="T20" s="75">
        <f t="shared" si="1"/>
        <v>3.7</v>
      </c>
      <c r="U20" s="73">
        <f t="shared" si="6"/>
        <v>117300</v>
      </c>
      <c r="V20" s="51">
        <f t="shared" si="3"/>
        <v>117000</v>
      </c>
    </row>
    <row r="21" spans="1:22" s="19" customFormat="1" ht="30" customHeight="1" x14ac:dyDescent="0.3">
      <c r="A21" s="21">
        <f t="shared" si="0"/>
        <v>15</v>
      </c>
      <c r="B21" s="106" t="s">
        <v>91</v>
      </c>
      <c r="C21" s="78" t="s">
        <v>92</v>
      </c>
      <c r="D21" s="77" t="s">
        <v>86</v>
      </c>
      <c r="E21" s="26" t="s">
        <v>87</v>
      </c>
      <c r="F21" s="22">
        <v>1</v>
      </c>
      <c r="G21" s="81" t="s">
        <v>74</v>
      </c>
      <c r="H21" s="48">
        <v>25</v>
      </c>
      <c r="I21" s="49"/>
      <c r="J21" s="50">
        <v>85</v>
      </c>
      <c r="K21" s="23"/>
      <c r="L21" s="23"/>
      <c r="M21" s="23"/>
      <c r="N21" s="23">
        <v>1</v>
      </c>
      <c r="O21" s="23"/>
      <c r="P21" s="23">
        <v>0.5</v>
      </c>
      <c r="Q21" s="23">
        <v>0.5</v>
      </c>
      <c r="R21" s="23"/>
      <c r="S21" s="23">
        <v>1</v>
      </c>
      <c r="T21" s="75">
        <f t="shared" si="1"/>
        <v>3</v>
      </c>
      <c r="U21" s="73">
        <f t="shared" si="5"/>
        <v>92800</v>
      </c>
      <c r="V21" s="51">
        <f t="shared" si="3"/>
        <v>92000</v>
      </c>
    </row>
    <row r="22" spans="1:22" s="19" customFormat="1" ht="30" customHeight="1" x14ac:dyDescent="0.3">
      <c r="A22" s="21">
        <f t="shared" si="0"/>
        <v>16</v>
      </c>
      <c r="B22" s="78"/>
      <c r="C22" s="78"/>
      <c r="D22" s="77"/>
      <c r="E22" s="77"/>
      <c r="F22" s="22"/>
      <c r="G22" s="81"/>
      <c r="H22" s="48"/>
      <c r="I22" s="49"/>
      <c r="J22" s="50"/>
      <c r="K22" s="23"/>
      <c r="L22" s="23"/>
      <c r="M22" s="23"/>
      <c r="N22" s="23"/>
      <c r="O22" s="23"/>
      <c r="P22" s="23"/>
      <c r="Q22" s="23"/>
      <c r="R22" s="23"/>
      <c r="S22" s="23"/>
      <c r="T22" s="75">
        <f t="shared" si="1"/>
        <v>0</v>
      </c>
      <c r="U22" s="73">
        <f t="shared" si="5"/>
        <v>0</v>
      </c>
      <c r="V22" s="51">
        <f t="shared" si="3"/>
        <v>0</v>
      </c>
    </row>
    <row r="23" spans="1:22" s="19" customFormat="1" ht="30" customHeight="1" thickBot="1" x14ac:dyDescent="0.35">
      <c r="A23" s="41"/>
      <c r="B23" s="79"/>
      <c r="C23" s="80"/>
      <c r="D23" s="39"/>
      <c r="E23" s="42"/>
      <c r="F23" s="42"/>
      <c r="G23" s="43"/>
      <c r="H23" s="44"/>
      <c r="I23" s="45"/>
      <c r="J23" s="46"/>
      <c r="K23" s="40"/>
      <c r="L23" s="40"/>
      <c r="M23" s="40"/>
      <c r="N23" s="40"/>
      <c r="O23" s="40"/>
      <c r="P23" s="40"/>
      <c r="Q23" s="40"/>
      <c r="R23" s="40"/>
      <c r="S23" s="40"/>
      <c r="T23" s="76"/>
      <c r="U23" s="74" t="s">
        <v>37</v>
      </c>
      <c r="V23" s="47">
        <f>SUM(V7:V21)</f>
        <v>3540000</v>
      </c>
    </row>
    <row r="24" spans="1:22" ht="15.75" customHeight="1" x14ac:dyDescent="0.3">
      <c r="A24" s="13"/>
      <c r="B24" s="14"/>
      <c r="C24" s="14"/>
      <c r="D24" s="14"/>
      <c r="E24" s="14"/>
      <c r="F24" s="14"/>
      <c r="G24" s="14"/>
      <c r="H24" s="30"/>
      <c r="I24" s="34"/>
      <c r="J24" s="38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6"/>
      <c r="V24" s="16"/>
    </row>
    <row r="26" spans="1:22" ht="26.25" x14ac:dyDescent="0.5">
      <c r="P26" s="98" t="s">
        <v>19</v>
      </c>
      <c r="Q26" s="98"/>
      <c r="R26" s="98"/>
      <c r="S26" s="98"/>
      <c r="T26" s="98"/>
      <c r="U26" s="98"/>
      <c r="V26" s="98"/>
    </row>
    <row r="27" spans="1:22" ht="26.25" x14ac:dyDescent="0.5">
      <c r="C27" s="103" t="s">
        <v>93</v>
      </c>
      <c r="D27" s="104"/>
      <c r="E27" s="104"/>
      <c r="F27" s="104"/>
      <c r="G27" s="104"/>
      <c r="H27" s="104"/>
      <c r="I27" s="104"/>
      <c r="J27" s="104"/>
      <c r="K27" s="104"/>
      <c r="P27" s="99">
        <v>46191</v>
      </c>
      <c r="Q27" s="99"/>
      <c r="R27" s="99"/>
      <c r="S27" s="99"/>
      <c r="T27" s="99"/>
      <c r="U27" s="99"/>
      <c r="V27" s="99"/>
    </row>
    <row r="28" spans="1:22" ht="26.25" x14ac:dyDescent="0.5">
      <c r="C28" s="104"/>
      <c r="D28" s="104"/>
      <c r="E28" s="104"/>
      <c r="F28" s="104"/>
      <c r="G28" s="104"/>
      <c r="H28" s="104"/>
      <c r="I28" s="104"/>
      <c r="J28" s="104"/>
      <c r="K28" s="104"/>
      <c r="P28" s="98" t="s">
        <v>20</v>
      </c>
      <c r="Q28" s="98"/>
      <c r="R28" s="98"/>
      <c r="S28" s="98"/>
      <c r="T28" s="98"/>
      <c r="U28" s="98"/>
      <c r="V28" s="98"/>
    </row>
    <row r="36" spans="16:22" x14ac:dyDescent="0.3">
      <c r="R36" s="17"/>
    </row>
    <row r="48" spans="16:22" ht="16.5" x14ac:dyDescent="0.3">
      <c r="P48" s="18"/>
      <c r="V48" s="18"/>
    </row>
  </sheetData>
  <mergeCells count="5">
    <mergeCell ref="P26:V26"/>
    <mergeCell ref="P27:V27"/>
    <mergeCell ref="P28:V28"/>
    <mergeCell ref="H6:J6"/>
    <mergeCell ref="C27:K28"/>
  </mergeCells>
  <phoneticPr fontId="1" type="noConversion"/>
  <conditionalFormatting sqref="B7:B23">
    <cfRule type="duplicateValues" dxfId="1" priority="37"/>
  </conditionalFormatting>
  <conditionalFormatting sqref="C7:C22">
    <cfRule type="duplicateValues" dxfId="0" priority="39"/>
  </conditionalFormatting>
  <pageMargins left="0.19685039370078741" right="0.19685039370078741" top="0.59055118110236227" bottom="0.43307086614173229" header="0.51181102362204722" footer="0.35433070866141736"/>
  <pageSetup paperSize="9" scale="5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7E07A-9E3F-4FC2-944D-57E18C23F0F4}">
  <dimension ref="A1"/>
  <sheetViews>
    <sheetView workbookViewId="0"/>
  </sheetViews>
  <sheetFormatPr defaultRowHeight="16.5" x14ac:dyDescent="0.3"/>
  <sheetData/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견적서</vt:lpstr>
      <vt:lpstr>기계</vt:lpstr>
      <vt:lpstr>Sheet1</vt:lpstr>
      <vt:lpstr>기계!Print_Area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윤상민</dc:creator>
  <cp:lastModifiedBy>thinpc202408</cp:lastModifiedBy>
  <cp:lastPrinted>2026-06-18T22:30:02Z</cp:lastPrinted>
  <dcterms:created xsi:type="dcterms:W3CDTF">2019-03-03T23:00:53Z</dcterms:created>
  <dcterms:modified xsi:type="dcterms:W3CDTF">2026-06-18T22:30:05Z</dcterms:modified>
</cp:coreProperties>
</file>