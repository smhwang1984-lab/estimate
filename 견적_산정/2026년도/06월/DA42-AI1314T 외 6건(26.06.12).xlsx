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bookViews>
    <workbookView xWindow="0" yWindow="0" windowWidth="28800" windowHeight="12870" activeTab="1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기계!$A$1:$V$19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9" l="1"/>
  <c r="G31" i="9"/>
  <c r="U13" i="10"/>
  <c r="V13" i="10" s="1"/>
  <c r="T13" i="10"/>
  <c r="A13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20" i="9"/>
  <c r="B33" i="9"/>
  <c r="B32" i="9"/>
  <c r="B31" i="9"/>
  <c r="B30" i="9"/>
  <c r="B29" i="9"/>
  <c r="B28" i="9"/>
  <c r="B34" i="9"/>
  <c r="B27" i="9"/>
  <c r="B26" i="9"/>
  <c r="B25" i="9"/>
  <c r="B24" i="9"/>
  <c r="B23" i="9"/>
  <c r="B22" i="9"/>
  <c r="B21" i="9"/>
  <c r="B20" i="9"/>
  <c r="B19" i="9"/>
  <c r="B18" i="9"/>
  <c r="B17" i="9"/>
  <c r="B16" i="9"/>
  <c r="G33" i="9"/>
  <c r="G34" i="9"/>
  <c r="A12" i="10"/>
  <c r="A11" i="10"/>
  <c r="A10" i="10"/>
  <c r="A9" i="10"/>
  <c r="A8" i="10"/>
  <c r="A7" i="10"/>
  <c r="T12" i="10"/>
  <c r="U12" i="10"/>
  <c r="V12" i="10" s="1"/>
  <c r="G21" i="9" s="1"/>
  <c r="G22" i="9"/>
  <c r="G23" i="9"/>
  <c r="G24" i="9"/>
  <c r="G25" i="9"/>
  <c r="G26" i="9"/>
  <c r="G27" i="9"/>
  <c r="G28" i="9"/>
  <c r="G29" i="9"/>
  <c r="G30" i="9"/>
  <c r="G32" i="9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V14" i="10" l="1"/>
  <c r="G20" i="9"/>
</calcChain>
</file>

<file path=xl/sharedStrings.xml><?xml version="1.0" encoding="utf-8"?>
<sst xmlns="http://schemas.openxmlformats.org/spreadsheetml/2006/main" count="69" uniqueCount="64">
  <si>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</si>
  <si>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</si>
  <si>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</si>
  <si>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</si>
  <si>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</si>
  <si>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</si>
  <si>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</si>
  <si>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</si>
  <si>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</si>
  <si>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</si>
  <si>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</si>
  <si>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</si>
  <si>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</si>
  <si>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</si>
  <si>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</si>
  <si>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</si>
  <si>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</si>
  <si>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</si>
  <si>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</si>
  <si>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</si>
  <si>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</si>
  <si>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</si>
  <si>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</si>
  <si>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</si>
  <si>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</si>
  <si>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</si>
  <si>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</si>
  <si>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</si>
  <si>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</si>
  <si>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</si>
  <si>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</si>
  <si>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</si>
  <si>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</si>
  <si>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</si>
  <si>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</si>
  <si>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</si>
  <si>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</si>
  <si>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</si>
  <si>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</si>
  <si>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</si>
  <si>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</si>
  <si>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</si>
  <si>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DA42-AI1314T</t>
    <phoneticPr fontId="1" type="noConversion"/>
  </si>
  <si>
    <t>상부 외피 (좌측용)</t>
    <phoneticPr fontId="1" type="noConversion"/>
  </si>
  <si>
    <t>진동 치구 필요</t>
    <phoneticPr fontId="1" type="noConversion"/>
  </si>
  <si>
    <t>X</t>
    <phoneticPr fontId="1" type="noConversion"/>
  </si>
  <si>
    <t>TI-6AL-4V ASTM B381</t>
    <phoneticPr fontId="1" type="noConversion"/>
  </si>
  <si>
    <t>SPMS31204D1</t>
    <phoneticPr fontId="1" type="noConversion"/>
  </si>
  <si>
    <t>RADIATOR</t>
    <phoneticPr fontId="1" type="noConversion"/>
  </si>
  <si>
    <t>드릴지그 필요 (TAP용)</t>
    <phoneticPr fontId="1" type="noConversion"/>
  </si>
  <si>
    <t>AL6061-T6 / T651</t>
    <phoneticPr fontId="1" type="noConversion"/>
  </si>
  <si>
    <t>SPMS31204D3</t>
    <phoneticPr fontId="1" type="noConversion"/>
  </si>
  <si>
    <t>RADI-TS FLANGE-1</t>
    <phoneticPr fontId="1" type="noConversion"/>
  </si>
  <si>
    <t>SPMS31204D4</t>
    <phoneticPr fontId="1" type="noConversion"/>
  </si>
  <si>
    <t>RADI-TS FLANGE-2</t>
    <phoneticPr fontId="1" type="noConversion"/>
  </si>
  <si>
    <t>M2 RECOIL / LONG DR 2종</t>
    <phoneticPr fontId="1" type="noConversion"/>
  </si>
  <si>
    <t xml:space="preserve">Coment : 1번 재질 및 소재 단가 높음 / 가공성 좋지 못함, 특수 ( 진공 치구 제작이 필요 ) 
            2번 내폭 및 가운데 더미 형상 불명확함 확인 필요 / TAP 가공 불가 (드릴 지그 등을 상용하여 가공 하여야 함) 
            4번 Ø2.2 LONG TYPE FL 22이상(10D) / TAP 관통 여부 확인 필요 / Ø3.0 가이드 핀구멍?? 도면 형상 불명확 함. </t>
    <phoneticPr fontId="1" type="noConversion"/>
  </si>
  <si>
    <t>형상 파악 명확하지 않음</t>
    <phoneticPr fontId="1" type="noConversion"/>
  </si>
  <si>
    <t>SPMS31204D5</t>
    <phoneticPr fontId="1" type="noConversion"/>
  </si>
  <si>
    <t>TS-DT FLANGE-1</t>
    <phoneticPr fontId="1" type="noConversion"/>
  </si>
  <si>
    <t>M4 RECOIL / M3 RECOIL</t>
    <phoneticPr fontId="1" type="noConversion"/>
  </si>
  <si>
    <t>SPMS31204D6</t>
    <phoneticPr fontId="1" type="noConversion"/>
  </si>
  <si>
    <t>TS-DT FLANGE-2</t>
    <phoneticPr fontId="1" type="noConversion"/>
  </si>
  <si>
    <t>치구 재작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</si>
</sst>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6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40" fillId="5" borderId="12" xfId="11" applyFont="1" applyFill="1" applyBorder="1" applyAlignment="1">
      <alignment horizontal="center" vertical="center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  <xf numFmtId="182" fontId="14" fillId="5" borderId="10" xfId="8" applyNumberFormat="1" applyFont="1" applyFill="1" applyBorder="1" applyAlignment="1">
      <alignment horizontal="center" vertical="center"/>
    </xf>
  </cellXfs>
  <cellStyles count="13">
    <cellStyle name="쉼표 [0] 2" xfId="1"/>
    <cellStyle name="표준" xfId="0" builtinId="0"/>
    <cellStyle name="표준 10" xfId="2"/>
    <cellStyle name="표준 2" xfId="3"/>
    <cellStyle name="표준 2 2" xfId="4"/>
    <cellStyle name="표준 2 3" xfId="5"/>
    <cellStyle name="표준 2 4" xfId="6"/>
    <cellStyle name="표준 3" xfId="7"/>
    <cellStyle name="표준 3 10" xfId="8"/>
    <cellStyle name="표준 3 10 2" xfId="9"/>
    <cellStyle name="표준 4" xfId="10"/>
    <cellStyle name="표준 5" xfId="11"/>
    <cellStyle name="표준 7" xfId="1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48576"/>
  <sheetViews>
    <sheetView topLeftCell="B13" workbookViewId="0">
      <selection activeCell="C28" sqref="C28:D28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60" t="s">
        <v>4</v>
      </c>
      <c r="C1" s="61"/>
      <c r="D1" s="61"/>
      <c r="E1" s="61"/>
      <c r="F1" s="61"/>
      <c r="G1" s="61"/>
      <c r="H1" s="61"/>
    </row>
    <row r="2" spans="2:8" ht="27" x14ac:dyDescent="0.3">
      <c r="B2" s="62"/>
      <c r="C2" s="63"/>
      <c r="D2" s="63"/>
      <c r="E2" s="63"/>
      <c r="F2" s="63"/>
      <c r="G2" s="63"/>
      <c r="H2" s="63"/>
    </row>
    <row r="3" spans="2:8" x14ac:dyDescent="0.3">
      <c r="B3" s="64"/>
      <c r="C3" s="64"/>
      <c r="D3" s="64"/>
      <c r="E3" s="64"/>
      <c r="F3" s="65"/>
      <c r="G3" s="66"/>
      <c r="H3" s="66"/>
    </row>
    <row r="4" spans="2:8" ht="39.950000000000003" customHeight="1" x14ac:dyDescent="0.3">
      <c r="B4" s="67" t="s">
        <v>32</v>
      </c>
      <c r="C4" s="68"/>
      <c r="D4" s="68"/>
      <c r="E4" s="68"/>
      <c r="F4" s="69"/>
      <c r="G4" s="69"/>
      <c r="H4" s="69"/>
    </row>
    <row r="5" spans="2:8" ht="21" customHeight="1" x14ac:dyDescent="0.3">
      <c r="B5" s="93" t="s">
        <v>36</v>
      </c>
      <c r="C5" s="93"/>
      <c r="D5" s="93"/>
      <c r="E5" s="93"/>
      <c r="F5" s="70" t="s">
        <v>33</v>
      </c>
      <c r="G5" s="70"/>
      <c r="H5" s="70"/>
    </row>
    <row r="6" spans="2:8" ht="24.75" customHeight="1" x14ac:dyDescent="0.3">
      <c r="B6" s="93" t="s">
        <v>3</v>
      </c>
      <c r="C6" s="93"/>
      <c r="D6" s="93"/>
      <c r="E6" s="93"/>
      <c r="F6" s="70" t="s">
        <v>29</v>
      </c>
      <c r="G6" s="70"/>
      <c r="H6" s="70"/>
    </row>
    <row r="7" spans="2:8" ht="24.75" customHeight="1" x14ac:dyDescent="0.3">
      <c r="B7" s="93" t="s">
        <v>41</v>
      </c>
      <c r="C7" s="93"/>
      <c r="D7" s="93"/>
      <c r="E7" s="93"/>
      <c r="F7" s="94" t="s">
        <v>30</v>
      </c>
      <c r="G7" s="94"/>
      <c r="H7" s="94"/>
    </row>
    <row r="8" spans="2:8" ht="24.75" customHeight="1" x14ac:dyDescent="0.3">
      <c r="B8" s="71" t="s">
        <v>28</v>
      </c>
      <c r="C8" s="70"/>
      <c r="D8" s="70"/>
      <c r="E8" s="70"/>
      <c r="F8" s="70" t="s">
        <v>31</v>
      </c>
      <c r="G8" s="70"/>
      <c r="H8" s="70"/>
    </row>
    <row r="9" spans="2:8" ht="24.75" customHeight="1" x14ac:dyDescent="0.3">
      <c r="B9" s="70" t="s">
        <v>2</v>
      </c>
      <c r="C9" s="70"/>
      <c r="D9" s="70"/>
      <c r="E9" s="70"/>
      <c r="F9" s="70" t="s">
        <v>40</v>
      </c>
      <c r="G9" s="70"/>
      <c r="H9" s="70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4" t="s">
        <v>1</v>
      </c>
      <c r="C15" s="91" t="s">
        <v>34</v>
      </c>
      <c r="D15" s="91"/>
      <c r="E15" s="91" t="s">
        <v>35</v>
      </c>
      <c r="F15" s="97"/>
      <c r="G15" s="95" t="s">
        <v>15</v>
      </c>
      <c r="H15" s="96"/>
    </row>
    <row r="16" spans="2:8" ht="24.75" customHeight="1" x14ac:dyDescent="0.3">
      <c r="B16" s="25">
        <f>ROW()-15</f>
        <v>1</v>
      </c>
      <c r="C16" s="87" t="str">
        <f>기계!$B7</f>
        <v>DA42-AI1314T</v>
      </c>
      <c r="D16" s="88"/>
      <c r="E16" s="89" t="str">
        <f>기계!$C7</f>
        <v>상부 외피 (좌측용)</v>
      </c>
      <c r="F16" s="88"/>
      <c r="G16" s="83">
        <f>기계!$V7</f>
        <v>1446000</v>
      </c>
      <c r="H16" s="84"/>
    </row>
    <row r="17" spans="2:8" ht="24.75" customHeight="1" x14ac:dyDescent="0.3">
      <c r="B17" s="25">
        <f t="shared" ref="B17:B34" si="0">ROW()-15</f>
        <v>2</v>
      </c>
      <c r="C17" s="87" t="str">
        <f>기계!$B8</f>
        <v>SPMS31204D1</v>
      </c>
      <c r="D17" s="88"/>
      <c r="E17" s="89" t="str">
        <f>기계!$C8</f>
        <v>RADIATOR</v>
      </c>
      <c r="F17" s="90"/>
      <c r="G17" s="83">
        <f>기계!$V8</f>
        <v>366000</v>
      </c>
      <c r="H17" s="84"/>
    </row>
    <row r="18" spans="2:8" ht="24.75" customHeight="1" x14ac:dyDescent="0.3">
      <c r="B18" s="25">
        <f t="shared" si="0"/>
        <v>3</v>
      </c>
      <c r="C18" s="87" t="str">
        <f>기계!$B9</f>
        <v>SPMS31204D3</v>
      </c>
      <c r="D18" s="88"/>
      <c r="E18" s="89" t="str">
        <f>기계!$C9</f>
        <v>RADI-TS FLANGE-1</v>
      </c>
      <c r="F18" s="90"/>
      <c r="G18" s="83">
        <f>기계!$V9</f>
        <v>59000</v>
      </c>
      <c r="H18" s="84"/>
    </row>
    <row r="19" spans="2:8" ht="24.75" customHeight="1" x14ac:dyDescent="0.3">
      <c r="B19" s="25">
        <f t="shared" si="0"/>
        <v>4</v>
      </c>
      <c r="C19" s="87" t="str">
        <f>기계!$B10</f>
        <v>SPMS31204D4</v>
      </c>
      <c r="D19" s="88"/>
      <c r="E19" s="89" t="str">
        <f>기계!$C10</f>
        <v>RADI-TS FLANGE-2</v>
      </c>
      <c r="F19" s="90"/>
      <c r="G19" s="83">
        <f>기계!$V10</f>
        <v>110000</v>
      </c>
      <c r="H19" s="84"/>
    </row>
    <row r="20" spans="2:8" ht="24.75" customHeight="1" x14ac:dyDescent="0.3">
      <c r="B20" s="25">
        <f t="shared" si="0"/>
        <v>5</v>
      </c>
      <c r="C20" s="87" t="str">
        <f>기계!$B11</f>
        <v>SPMS31204D5</v>
      </c>
      <c r="D20" s="88"/>
      <c r="E20" s="89" t="str">
        <f>기계!$C11</f>
        <v>TS-DT FLANGE-1</v>
      </c>
      <c r="F20" s="90"/>
      <c r="G20" s="83">
        <f>기계!$V11</f>
        <v>163000</v>
      </c>
      <c r="H20" s="84"/>
    </row>
    <row r="21" spans="2:8" ht="24.75" customHeight="1" x14ac:dyDescent="0.3">
      <c r="B21" s="25">
        <f t="shared" si="0"/>
        <v>6</v>
      </c>
      <c r="C21" s="87" t="str">
        <f>기계!$B12</f>
        <v>SPMS31204D6</v>
      </c>
      <c r="D21" s="88"/>
      <c r="E21" s="89" t="str">
        <f>기계!$C12</f>
        <v>TS-DT FLANGE-2</v>
      </c>
      <c r="F21" s="90"/>
      <c r="G21" s="83">
        <f>기계!$V12</f>
        <v>101000</v>
      </c>
      <c r="H21" s="84"/>
    </row>
    <row r="22" spans="2:8" ht="24.75" customHeight="1" x14ac:dyDescent="0.3">
      <c r="B22" s="25">
        <f t="shared" si="0"/>
        <v>7</v>
      </c>
      <c r="C22" s="87" t="e">
        <f>기계!#REF!</f>
        <v>#REF!</v>
      </c>
      <c r="D22" s="88"/>
      <c r="E22" s="89" t="e">
        <f>기계!#REF!</f>
        <v>#REF!</v>
      </c>
      <c r="F22" s="90"/>
      <c r="G22" s="83" t="e">
        <f>기계!#REF!</f>
        <v>#REF!</v>
      </c>
      <c r="H22" s="84"/>
    </row>
    <row r="23" spans="2:8" ht="24.75" customHeight="1" x14ac:dyDescent="0.3">
      <c r="B23" s="25">
        <f t="shared" si="0"/>
        <v>8</v>
      </c>
      <c r="C23" s="87" t="e">
        <f>기계!#REF!</f>
        <v>#REF!</v>
      </c>
      <c r="D23" s="88"/>
      <c r="E23" s="89" t="e">
        <f>기계!#REF!</f>
        <v>#REF!</v>
      </c>
      <c r="F23" s="90"/>
      <c r="G23" s="83" t="e">
        <f>기계!#REF!</f>
        <v>#REF!</v>
      </c>
      <c r="H23" s="84"/>
    </row>
    <row r="24" spans="2:8" ht="24.75" customHeight="1" x14ac:dyDescent="0.3">
      <c r="B24" s="25">
        <f t="shared" si="0"/>
        <v>9</v>
      </c>
      <c r="C24" s="87" t="e">
        <f>기계!#REF!</f>
        <v>#REF!</v>
      </c>
      <c r="D24" s="88"/>
      <c r="E24" s="89" t="e">
        <f>기계!#REF!</f>
        <v>#REF!</v>
      </c>
      <c r="F24" s="90"/>
      <c r="G24" s="83" t="e">
        <f>기계!#REF!</f>
        <v>#REF!</v>
      </c>
      <c r="H24" s="84"/>
    </row>
    <row r="25" spans="2:8" ht="24.75" customHeight="1" x14ac:dyDescent="0.3">
      <c r="B25" s="25">
        <f t="shared" si="0"/>
        <v>10</v>
      </c>
      <c r="C25" s="87" t="e">
        <f>기계!#REF!</f>
        <v>#REF!</v>
      </c>
      <c r="D25" s="88"/>
      <c r="E25" s="89" t="e">
        <f>기계!#REF!</f>
        <v>#REF!</v>
      </c>
      <c r="F25" s="90"/>
      <c r="G25" s="83" t="e">
        <f>기계!#REF!</f>
        <v>#REF!</v>
      </c>
      <c r="H25" s="84"/>
    </row>
    <row r="26" spans="2:8" ht="24.75" customHeight="1" x14ac:dyDescent="0.3">
      <c r="B26" s="25">
        <f t="shared" si="0"/>
        <v>11</v>
      </c>
      <c r="C26" s="87" t="e">
        <f>기계!#REF!</f>
        <v>#REF!</v>
      </c>
      <c r="D26" s="88"/>
      <c r="E26" s="89" t="e">
        <f>기계!#REF!</f>
        <v>#REF!</v>
      </c>
      <c r="F26" s="90"/>
      <c r="G26" s="83" t="e">
        <f>기계!#REF!</f>
        <v>#REF!</v>
      </c>
      <c r="H26" s="84"/>
    </row>
    <row r="27" spans="2:8" ht="24.75" customHeight="1" x14ac:dyDescent="0.3">
      <c r="B27" s="25">
        <f t="shared" si="0"/>
        <v>12</v>
      </c>
      <c r="C27" s="87" t="e">
        <f>기계!#REF!</f>
        <v>#REF!</v>
      </c>
      <c r="D27" s="88"/>
      <c r="E27" s="89" t="e">
        <f>기계!#REF!</f>
        <v>#REF!</v>
      </c>
      <c r="F27" s="90"/>
      <c r="G27" s="83" t="e">
        <f>기계!#REF!</f>
        <v>#REF!</v>
      </c>
      <c r="H27" s="84"/>
    </row>
    <row r="28" spans="2:8" ht="24.75" customHeight="1" x14ac:dyDescent="0.3">
      <c r="B28" s="25">
        <f t="shared" si="0"/>
        <v>13</v>
      </c>
      <c r="C28" s="87" t="e">
        <f>기계!#REF!</f>
        <v>#REF!</v>
      </c>
      <c r="D28" s="88"/>
      <c r="E28" s="89" t="e">
        <f>기계!#REF!</f>
        <v>#REF!</v>
      </c>
      <c r="F28" s="90"/>
      <c r="G28" s="83" t="e">
        <f>기계!#REF!</f>
        <v>#REF!</v>
      </c>
      <c r="H28" s="84"/>
    </row>
    <row r="29" spans="2:8" ht="24.75" customHeight="1" x14ac:dyDescent="0.3">
      <c r="B29" s="25">
        <f t="shared" si="0"/>
        <v>14</v>
      </c>
      <c r="C29" s="87" t="e">
        <f>기계!#REF!</f>
        <v>#REF!</v>
      </c>
      <c r="D29" s="88"/>
      <c r="E29" s="89" t="e">
        <f>기계!#REF!</f>
        <v>#REF!</v>
      </c>
      <c r="F29" s="90"/>
      <c r="G29" s="83" t="e">
        <f>기계!#REF!</f>
        <v>#REF!</v>
      </c>
      <c r="H29" s="84"/>
    </row>
    <row r="30" spans="2:8" ht="24.75" customHeight="1" x14ac:dyDescent="0.3">
      <c r="B30" s="25">
        <f t="shared" si="0"/>
        <v>15</v>
      </c>
      <c r="C30" s="87" t="e">
        <f>기계!#REF!</f>
        <v>#REF!</v>
      </c>
      <c r="D30" s="88"/>
      <c r="E30" s="89" t="e">
        <f>기계!#REF!</f>
        <v>#REF!</v>
      </c>
      <c r="F30" s="90"/>
      <c r="G30" s="83" t="e">
        <f>기계!#REF!</f>
        <v>#REF!</v>
      </c>
      <c r="H30" s="84"/>
    </row>
    <row r="31" spans="2:8" ht="24.75" customHeight="1" x14ac:dyDescent="0.3">
      <c r="B31" s="25">
        <f t="shared" si="0"/>
        <v>16</v>
      </c>
      <c r="C31" s="87" t="e">
        <f>기계!#REF!</f>
        <v>#REF!</v>
      </c>
      <c r="D31" s="88"/>
      <c r="E31" s="89" t="e">
        <f>기계!#REF!</f>
        <v>#REF!</v>
      </c>
      <c r="F31" s="90"/>
      <c r="G31" s="83" t="e">
        <f>기계!#REF!</f>
        <v>#REF!</v>
      </c>
      <c r="H31" s="84"/>
    </row>
    <row r="32" spans="2:8" ht="24.75" customHeight="1" x14ac:dyDescent="0.3">
      <c r="B32" s="25">
        <f t="shared" si="0"/>
        <v>17</v>
      </c>
      <c r="C32" s="87" t="e">
        <f>기계!#REF!</f>
        <v>#REF!</v>
      </c>
      <c r="D32" s="88"/>
      <c r="E32" s="89" t="e">
        <f>기계!#REF!</f>
        <v>#REF!</v>
      </c>
      <c r="F32" s="90"/>
      <c r="G32" s="83" t="e">
        <f>기계!#REF!</f>
        <v>#REF!</v>
      </c>
      <c r="H32" s="84"/>
    </row>
    <row r="33" spans="2:8" ht="24.75" customHeight="1" x14ac:dyDescent="0.3">
      <c r="B33" s="25">
        <f t="shared" si="0"/>
        <v>18</v>
      </c>
      <c r="C33" s="87" t="e">
        <f>기계!#REF!</f>
        <v>#REF!</v>
      </c>
      <c r="D33" s="88"/>
      <c r="E33" s="89" t="e">
        <f>기계!#REF!</f>
        <v>#REF!</v>
      </c>
      <c r="F33" s="90"/>
      <c r="G33" s="83" t="e">
        <f>기계!#REF!</f>
        <v>#REF!</v>
      </c>
      <c r="H33" s="84"/>
    </row>
    <row r="34" spans="2:8" ht="24.75" customHeight="1" x14ac:dyDescent="0.3">
      <c r="B34" s="25">
        <f t="shared" si="0"/>
        <v>19</v>
      </c>
      <c r="C34" s="87" t="e">
        <f>기계!#REF!</f>
        <v>#REF!</v>
      </c>
      <c r="D34" s="88"/>
      <c r="E34" s="89" t="e">
        <f>기계!#REF!</f>
        <v>#REF!</v>
      </c>
      <c r="F34" s="90"/>
      <c r="G34" s="83" t="e">
        <f>기계!#REF!</f>
        <v>#REF!</v>
      </c>
      <c r="H34" s="84"/>
    </row>
    <row r="35" spans="2:8" ht="24.75" customHeight="1" x14ac:dyDescent="0.3">
      <c r="B35" s="91" t="s">
        <v>0</v>
      </c>
      <c r="C35" s="92"/>
      <c r="D35" s="92"/>
      <c r="E35" s="85"/>
      <c r="F35" s="86"/>
      <c r="G35" s="85">
        <f>기계!V14</f>
        <v>2245000</v>
      </c>
      <c r="H35" s="86"/>
    </row>
    <row r="36" spans="2:8" ht="10.5" customHeight="1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3"/>
      <c r="C37" s="2"/>
      <c r="D37" s="2"/>
      <c r="E37" s="2"/>
      <c r="F37" s="2"/>
      <c r="G37" s="2"/>
      <c r="H37" s="2"/>
    </row>
    <row r="38" spans="2:8" x14ac:dyDescent="0.3">
      <c r="B38" s="2"/>
      <c r="C38" s="2"/>
      <c r="D38" s="2"/>
      <c r="E38" s="2"/>
      <c r="F38" s="2"/>
      <c r="G38" s="2"/>
      <c r="H38" s="2"/>
    </row>
    <row r="39" spans="2:8" x14ac:dyDescent="0.3">
      <c r="B39" s="2"/>
      <c r="C39" s="2"/>
      <c r="D39" s="2"/>
      <c r="E39" s="2"/>
      <c r="F39" s="2"/>
      <c r="G39" s="2"/>
      <c r="H39" s="2"/>
    </row>
    <row r="40" spans="2:8" x14ac:dyDescent="0.3">
      <c r="B40" s="2"/>
      <c r="C40" s="2"/>
      <c r="D40" s="2"/>
      <c r="E40" s="2"/>
      <c r="F40" s="2"/>
      <c r="G40" s="2"/>
      <c r="H40" s="2"/>
    </row>
    <row r="41" spans="2:8" x14ac:dyDescent="0.3">
      <c r="B41" s="2"/>
      <c r="C41" s="2"/>
      <c r="D41" s="2"/>
      <c r="E41" s="2"/>
      <c r="F41" s="2"/>
      <c r="G41" s="2"/>
      <c r="H41" s="2"/>
    </row>
    <row r="42" spans="2:8" x14ac:dyDescent="0.3">
      <c r="B42" s="2"/>
      <c r="C42" s="2"/>
      <c r="D42" s="2"/>
      <c r="E42" s="2"/>
      <c r="F42" s="2"/>
      <c r="G42" s="2"/>
      <c r="H42" s="2"/>
    </row>
    <row r="1048576" spans="3:4" ht="13.5" customHeight="1" x14ac:dyDescent="0.3">
      <c r="C1048576" s="87"/>
      <c r="D1048576" s="88"/>
    </row>
  </sheetData>
  <mergeCells count="68">
    <mergeCell ref="C1048576:D1048576"/>
    <mergeCell ref="C29:D29"/>
    <mergeCell ref="C30:D30"/>
    <mergeCell ref="C32:D32"/>
    <mergeCell ref="C33:D33"/>
    <mergeCell ref="E29:F29"/>
    <mergeCell ref="E30:F30"/>
    <mergeCell ref="E32:F32"/>
    <mergeCell ref="E33:F33"/>
    <mergeCell ref="C22:D22"/>
    <mergeCell ref="C23:D23"/>
    <mergeCell ref="C24:D24"/>
    <mergeCell ref="C25:D25"/>
    <mergeCell ref="C28:D28"/>
    <mergeCell ref="E22:F22"/>
    <mergeCell ref="E23:F23"/>
    <mergeCell ref="E24:F24"/>
    <mergeCell ref="E25:F25"/>
    <mergeCell ref="E28:F28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8:D18"/>
    <mergeCell ref="C20:D20"/>
    <mergeCell ref="E20:F20"/>
    <mergeCell ref="C19:D19"/>
    <mergeCell ref="E19:F19"/>
    <mergeCell ref="E18:F18"/>
    <mergeCell ref="G35:H35"/>
    <mergeCell ref="C21:D21"/>
    <mergeCell ref="C34:D34"/>
    <mergeCell ref="E34:F34"/>
    <mergeCell ref="C27:D27"/>
    <mergeCell ref="E27:F27"/>
    <mergeCell ref="C31:D31"/>
    <mergeCell ref="E31:F31"/>
    <mergeCell ref="B35:D35"/>
    <mergeCell ref="E35:F35"/>
    <mergeCell ref="E21:F21"/>
    <mergeCell ref="C26:D26"/>
    <mergeCell ref="E26:F26"/>
    <mergeCell ref="G26:H26"/>
    <mergeCell ref="G27:H27"/>
    <mergeCell ref="G31:H31"/>
    <mergeCell ref="G34:H34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8:H28"/>
    <mergeCell ref="G29:H29"/>
    <mergeCell ref="G30:H30"/>
    <mergeCell ref="G32:H32"/>
    <mergeCell ref="G33:H33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9"/>
  <sheetViews>
    <sheetView tabSelected="1" zoomScale="85" zoomScaleNormal="85" workbookViewId="0">
      <selection activeCell="K14" sqref="K14:L14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5.375" style="6" bestFit="1" customWidth="1"/>
    <col min="5" max="5" width="23.75" style="6" bestFit="1" customWidth="1"/>
    <col min="6" max="6" width="4.5" style="6" customWidth="1"/>
    <col min="7" max="7" width="20.125" style="6" bestFit="1" customWidth="1"/>
    <col min="8" max="8" width="7.75" style="27" bestFit="1" customWidth="1"/>
    <col min="9" max="9" width="9.125" style="31" bestFit="1" customWidth="1"/>
    <col min="10" max="10" width="8.75" style="35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28"/>
      <c r="I4" s="32"/>
      <c r="J4" s="36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29"/>
      <c r="I5" s="33"/>
      <c r="J5" s="37"/>
      <c r="K5" s="59">
        <v>70000</v>
      </c>
      <c r="L5" s="59">
        <v>50000</v>
      </c>
      <c r="M5" s="59">
        <v>40000</v>
      </c>
      <c r="N5" s="59">
        <v>35000</v>
      </c>
      <c r="O5" s="59">
        <v>20000</v>
      </c>
      <c r="P5" s="59">
        <v>15600</v>
      </c>
      <c r="Q5" s="59">
        <v>30000</v>
      </c>
      <c r="R5" s="59">
        <v>35000</v>
      </c>
      <c r="S5" s="59">
        <v>35000</v>
      </c>
    </row>
    <row r="6" spans="1:22" s="20" customFormat="1" ht="24.75" customHeight="1" x14ac:dyDescent="0.3">
      <c r="A6" s="52" t="s">
        <v>14</v>
      </c>
      <c r="B6" s="53" t="s">
        <v>25</v>
      </c>
      <c r="C6" s="54" t="s">
        <v>26</v>
      </c>
      <c r="D6" s="54" t="s">
        <v>23</v>
      </c>
      <c r="E6" s="55" t="s">
        <v>27</v>
      </c>
      <c r="F6" s="55" t="s">
        <v>16</v>
      </c>
      <c r="G6" s="53" t="s">
        <v>17</v>
      </c>
      <c r="H6" s="100" t="s">
        <v>24</v>
      </c>
      <c r="I6" s="101"/>
      <c r="J6" s="102"/>
      <c r="K6" s="56" t="s">
        <v>13</v>
      </c>
      <c r="L6" s="56" t="s">
        <v>39</v>
      </c>
      <c r="M6" s="56" t="s">
        <v>12</v>
      </c>
      <c r="N6" s="56" t="s">
        <v>11</v>
      </c>
      <c r="O6" s="56" t="s">
        <v>10</v>
      </c>
      <c r="P6" s="56" t="s">
        <v>9</v>
      </c>
      <c r="Q6" s="56" t="s">
        <v>8</v>
      </c>
      <c r="R6" s="56" t="s">
        <v>7</v>
      </c>
      <c r="S6" s="57" t="s">
        <v>6</v>
      </c>
      <c r="T6" s="58" t="s">
        <v>5</v>
      </c>
      <c r="U6" s="72" t="s">
        <v>38</v>
      </c>
      <c r="V6" s="58" t="s">
        <v>18</v>
      </c>
    </row>
    <row r="7" spans="1:22" s="19" customFormat="1" ht="30" customHeight="1" x14ac:dyDescent="0.3">
      <c r="A7" s="21">
        <f>ROW()-6</f>
        <v>1</v>
      </c>
      <c r="B7" s="78" t="s">
        <v>42</v>
      </c>
      <c r="C7" s="78" t="s">
        <v>43</v>
      </c>
      <c r="D7" s="77" t="s">
        <v>44</v>
      </c>
      <c r="E7" s="82" t="s">
        <v>45</v>
      </c>
      <c r="F7" s="22">
        <v>1</v>
      </c>
      <c r="G7" s="81" t="s">
        <v>46</v>
      </c>
      <c r="H7" s="48">
        <v>65</v>
      </c>
      <c r="I7" s="49">
        <v>250</v>
      </c>
      <c r="J7" s="50">
        <v>420</v>
      </c>
      <c r="K7" s="23">
        <v>13</v>
      </c>
      <c r="L7" s="23"/>
      <c r="M7" s="23">
        <v>1</v>
      </c>
      <c r="N7" s="23"/>
      <c r="O7" s="23">
        <v>0.5</v>
      </c>
      <c r="P7" s="23">
        <v>3</v>
      </c>
      <c r="Q7" s="23">
        <v>3</v>
      </c>
      <c r="R7" s="23"/>
      <c r="S7" s="23">
        <v>10</v>
      </c>
      <c r="T7" s="75">
        <f>SUM($K7:$S7)</f>
        <v>30.5</v>
      </c>
      <c r="U7" s="73">
        <f>(K7*$K$5+L7*$L$5+M7*$M$5+N7*$N$5+O7*$O$5+P7*$P$5+Q7*$Q$5+S7*$S$5+R7*$R$5)*$F7</f>
        <v>1446800</v>
      </c>
      <c r="V7" s="51">
        <f>ROUNDDOWN($U7,-3)</f>
        <v>1446000</v>
      </c>
    </row>
    <row r="8" spans="1:22" s="19" customFormat="1" ht="30" customHeight="1" x14ac:dyDescent="0.3">
      <c r="A8" s="21">
        <f t="shared" ref="A8:A13" si="0">ROW()-6</f>
        <v>2</v>
      </c>
      <c r="B8" s="78" t="s">
        <v>47</v>
      </c>
      <c r="C8" s="78" t="s">
        <v>48</v>
      </c>
      <c r="D8" s="77" t="s">
        <v>49</v>
      </c>
      <c r="E8" s="26" t="s">
        <v>57</v>
      </c>
      <c r="F8" s="22">
        <v>1</v>
      </c>
      <c r="G8" s="81" t="s">
        <v>50</v>
      </c>
      <c r="H8" s="48">
        <v>28</v>
      </c>
      <c r="I8" s="105">
        <v>260</v>
      </c>
      <c r="J8" s="50">
        <v>300</v>
      </c>
      <c r="K8" s="23">
        <v>3</v>
      </c>
      <c r="L8" s="23"/>
      <c r="M8" s="23">
        <v>0.5</v>
      </c>
      <c r="N8" s="23"/>
      <c r="O8" s="23">
        <v>0.5</v>
      </c>
      <c r="P8" s="23">
        <v>2</v>
      </c>
      <c r="Q8" s="23">
        <v>2</v>
      </c>
      <c r="R8" s="23"/>
      <c r="S8" s="23">
        <v>1</v>
      </c>
      <c r="T8" s="75">
        <f t="shared" ref="T8:T12" si="1">SUM($K8:$S8)</f>
        <v>9</v>
      </c>
      <c r="U8" s="73">
        <f t="shared" ref="U8" si="2">(K8*$K$5+L8*$L$5+M8*$M$5+N8*$N$5+O8*$O$5+P8*$P$5+Q8*$Q$5+S8*$S$5+R8*$R$5)*$F8</f>
        <v>366200</v>
      </c>
      <c r="V8" s="51">
        <f t="shared" ref="V8:V12" si="3">ROUNDDOWN($U8,-3)</f>
        <v>366000</v>
      </c>
    </row>
    <row r="9" spans="1:22" s="19" customFormat="1" ht="30" customHeight="1" x14ac:dyDescent="0.3">
      <c r="A9" s="21">
        <f t="shared" si="0"/>
        <v>3</v>
      </c>
      <c r="B9" s="78" t="s">
        <v>51</v>
      </c>
      <c r="C9" s="78" t="s">
        <v>52</v>
      </c>
      <c r="D9" s="77"/>
      <c r="E9" s="26"/>
      <c r="F9" s="22">
        <v>1</v>
      </c>
      <c r="G9" s="81" t="s">
        <v>50</v>
      </c>
      <c r="H9" s="48">
        <v>15</v>
      </c>
      <c r="I9" s="49">
        <v>20</v>
      </c>
      <c r="J9" s="50">
        <v>90</v>
      </c>
      <c r="K9" s="23"/>
      <c r="L9" s="23"/>
      <c r="M9" s="23">
        <v>0.5</v>
      </c>
      <c r="N9" s="23"/>
      <c r="O9" s="23">
        <v>0.2</v>
      </c>
      <c r="P9" s="23">
        <v>0.2</v>
      </c>
      <c r="Q9" s="23">
        <v>0.5</v>
      </c>
      <c r="R9" s="23"/>
      <c r="S9" s="23">
        <v>0.5</v>
      </c>
      <c r="T9" s="75">
        <f t="shared" si="1"/>
        <v>1.9</v>
      </c>
      <c r="U9" s="73">
        <f t="shared" ref="U9:U12" si="4">(K9*$K$5+L9*$L$5+M9*$M$5+N9*$N$5+O9*$O$5+P9*$P$5+Q9*$Q$5+S9*$S$5+R9*$R$5)*$F9</f>
        <v>59620</v>
      </c>
      <c r="V9" s="51">
        <f t="shared" si="3"/>
        <v>59000</v>
      </c>
    </row>
    <row r="10" spans="1:22" s="19" customFormat="1" ht="30" customHeight="1" x14ac:dyDescent="0.3">
      <c r="A10" s="21">
        <f t="shared" si="0"/>
        <v>4</v>
      </c>
      <c r="B10" s="78" t="s">
        <v>53</v>
      </c>
      <c r="C10" s="78" t="s">
        <v>54</v>
      </c>
      <c r="D10" s="77" t="s">
        <v>55</v>
      </c>
      <c r="E10" s="26" t="s">
        <v>57</v>
      </c>
      <c r="F10" s="22">
        <v>1</v>
      </c>
      <c r="G10" s="81" t="s">
        <v>50</v>
      </c>
      <c r="H10" s="48">
        <v>28</v>
      </c>
      <c r="I10" s="49">
        <v>20</v>
      </c>
      <c r="J10" s="50">
        <v>90</v>
      </c>
      <c r="K10" s="23"/>
      <c r="L10" s="23"/>
      <c r="M10" s="23">
        <v>1.5</v>
      </c>
      <c r="N10" s="23"/>
      <c r="O10" s="23">
        <v>0.5</v>
      </c>
      <c r="P10" s="23">
        <v>0.5</v>
      </c>
      <c r="Q10" s="23">
        <v>0.5</v>
      </c>
      <c r="R10" s="23"/>
      <c r="S10" s="23">
        <v>0.5</v>
      </c>
      <c r="T10" s="75">
        <f t="shared" si="1"/>
        <v>3.5</v>
      </c>
      <c r="U10" s="73">
        <f t="shared" si="4"/>
        <v>110300</v>
      </c>
      <c r="V10" s="51">
        <f t="shared" si="3"/>
        <v>110000</v>
      </c>
    </row>
    <row r="11" spans="1:22" s="19" customFormat="1" ht="30" customHeight="1" x14ac:dyDescent="0.3">
      <c r="A11" s="21">
        <f t="shared" si="0"/>
        <v>5</v>
      </c>
      <c r="B11" s="78" t="s">
        <v>58</v>
      </c>
      <c r="C11" s="78" t="s">
        <v>59</v>
      </c>
      <c r="D11" s="77" t="s">
        <v>60</v>
      </c>
      <c r="E11" s="26"/>
      <c r="F11" s="22">
        <v>1</v>
      </c>
      <c r="G11" s="81" t="s">
        <v>50</v>
      </c>
      <c r="H11" s="48">
        <v>25</v>
      </c>
      <c r="I11" s="49">
        <v>85</v>
      </c>
      <c r="J11" s="50">
        <v>80</v>
      </c>
      <c r="K11" s="23">
        <v>1.5</v>
      </c>
      <c r="L11" s="23"/>
      <c r="M11" s="23"/>
      <c r="N11" s="23"/>
      <c r="O11" s="23">
        <v>0.5</v>
      </c>
      <c r="P11" s="23">
        <v>1</v>
      </c>
      <c r="Q11" s="23">
        <v>0.5</v>
      </c>
      <c r="R11" s="23"/>
      <c r="S11" s="23">
        <v>0.5</v>
      </c>
      <c r="T11" s="75">
        <f t="shared" si="1"/>
        <v>4</v>
      </c>
      <c r="U11" s="73">
        <f t="shared" si="4"/>
        <v>163100</v>
      </c>
      <c r="V11" s="51">
        <f t="shared" si="3"/>
        <v>163000</v>
      </c>
    </row>
    <row r="12" spans="1:22" s="19" customFormat="1" ht="30" customHeight="1" x14ac:dyDescent="0.3">
      <c r="A12" s="21">
        <f t="shared" si="0"/>
        <v>6</v>
      </c>
      <c r="B12" s="78" t="s">
        <v>61</v>
      </c>
      <c r="C12" s="78" t="s">
        <v>62</v>
      </c>
      <c r="D12" s="77" t="s">
        <v>63</v>
      </c>
      <c r="E12" s="26"/>
      <c r="F12" s="22">
        <v>1</v>
      </c>
      <c r="G12" s="81" t="s">
        <v>50</v>
      </c>
      <c r="H12" s="48">
        <v>6</v>
      </c>
      <c r="I12" s="49">
        <v>70</v>
      </c>
      <c r="J12" s="50">
        <v>120</v>
      </c>
      <c r="K12" s="23"/>
      <c r="L12" s="23"/>
      <c r="M12" s="23">
        <v>1</v>
      </c>
      <c r="N12" s="23"/>
      <c r="O12" s="23">
        <v>0.2</v>
      </c>
      <c r="P12" s="23">
        <v>0.5</v>
      </c>
      <c r="Q12" s="23">
        <v>0.5</v>
      </c>
      <c r="R12" s="23"/>
      <c r="S12" s="23">
        <v>1</v>
      </c>
      <c r="T12" s="75">
        <f t="shared" si="1"/>
        <v>3.2</v>
      </c>
      <c r="U12" s="73">
        <f t="shared" si="4"/>
        <v>101800</v>
      </c>
      <c r="V12" s="51">
        <f t="shared" si="3"/>
        <v>101000</v>
      </c>
    </row>
    <row r="13" spans="1:22" s="19" customFormat="1" ht="30" customHeight="1" x14ac:dyDescent="0.3">
      <c r="A13" s="21">
        <f t="shared" si="0"/>
        <v>7</v>
      </c>
      <c r="B13" s="78"/>
      <c r="C13" s="78"/>
      <c r="D13" s="77"/>
      <c r="E13" s="77"/>
      <c r="F13" s="22"/>
      <c r="G13" s="81"/>
      <c r="H13" s="48"/>
      <c r="I13" s="49"/>
      <c r="J13" s="50"/>
      <c r="K13" s="23"/>
      <c r="L13" s="23"/>
      <c r="M13" s="23"/>
      <c r="N13" s="23"/>
      <c r="O13" s="23"/>
      <c r="P13" s="23"/>
      <c r="Q13" s="23"/>
      <c r="R13" s="23"/>
      <c r="S13" s="23"/>
      <c r="T13" s="75">
        <f>SUM($K13:$S13)</f>
        <v>0</v>
      </c>
      <c r="U13" s="73">
        <f>(K13*$K$5+L13*$L$5+M13*$M$5+N13*$N$5+O13*$O$5+P13*$P$5+Q13*$Q$5+S13*$S$5+R13*$R$5)*$F13</f>
        <v>0</v>
      </c>
      <c r="V13" s="51">
        <f>ROUNDDOWN($U13,-3)</f>
        <v>0</v>
      </c>
    </row>
    <row r="14" spans="1:22" s="19" customFormat="1" ht="30" customHeight="1" thickBot="1" x14ac:dyDescent="0.35">
      <c r="A14" s="41"/>
      <c r="B14" s="79"/>
      <c r="C14" s="80"/>
      <c r="D14" s="39"/>
      <c r="E14" s="42"/>
      <c r="F14" s="42"/>
      <c r="G14" s="43"/>
      <c r="H14" s="44"/>
      <c r="I14" s="45"/>
      <c r="J14" s="46"/>
      <c r="K14" s="40"/>
      <c r="L14" s="40"/>
      <c r="M14" s="40"/>
      <c r="N14" s="40"/>
      <c r="O14" s="40"/>
      <c r="P14" s="40"/>
      <c r="Q14" s="40"/>
      <c r="R14" s="40"/>
      <c r="S14" s="40"/>
      <c r="T14" s="76"/>
      <c r="U14" s="74" t="s">
        <v>37</v>
      </c>
      <c r="V14" s="47">
        <f>SUM(V7:V12)</f>
        <v>2245000</v>
      </c>
    </row>
    <row r="15" spans="1:22" ht="15.75" customHeight="1" x14ac:dyDescent="0.3">
      <c r="A15" s="13"/>
      <c r="B15" s="14"/>
      <c r="C15" s="14"/>
      <c r="D15" s="14"/>
      <c r="E15" s="14"/>
      <c r="F15" s="14"/>
      <c r="G15" s="14"/>
      <c r="H15" s="30"/>
      <c r="I15" s="34"/>
      <c r="J15" s="38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  <c r="V15" s="16"/>
    </row>
    <row r="17" spans="3:22" ht="26.25" x14ac:dyDescent="0.5">
      <c r="P17" s="98" t="s">
        <v>19</v>
      </c>
      <c r="Q17" s="98"/>
      <c r="R17" s="98"/>
      <c r="S17" s="98"/>
      <c r="T17" s="98"/>
      <c r="U17" s="98"/>
      <c r="V17" s="98"/>
    </row>
    <row r="18" spans="3:22" ht="26.25" x14ac:dyDescent="0.5">
      <c r="C18" s="103" t="s">
        <v>56</v>
      </c>
      <c r="D18" s="104"/>
      <c r="E18" s="104"/>
      <c r="F18" s="104"/>
      <c r="G18" s="104"/>
      <c r="H18" s="104"/>
      <c r="I18" s="104"/>
      <c r="J18" s="104"/>
      <c r="K18" s="104"/>
      <c r="P18" s="99">
        <v>46185</v>
      </c>
      <c r="Q18" s="99"/>
      <c r="R18" s="99"/>
      <c r="S18" s="99"/>
      <c r="T18" s="99"/>
      <c r="U18" s="99"/>
      <c r="V18" s="99"/>
    </row>
    <row r="19" spans="3:22" ht="26.25" x14ac:dyDescent="0.5">
      <c r="C19" s="104"/>
      <c r="D19" s="104"/>
      <c r="E19" s="104"/>
      <c r="F19" s="104"/>
      <c r="G19" s="104"/>
      <c r="H19" s="104"/>
      <c r="I19" s="104"/>
      <c r="J19" s="104"/>
      <c r="K19" s="104"/>
      <c r="P19" s="98" t="s">
        <v>20</v>
      </c>
      <c r="Q19" s="98"/>
      <c r="R19" s="98"/>
      <c r="S19" s="98"/>
      <c r="T19" s="98"/>
      <c r="U19" s="98"/>
      <c r="V19" s="98"/>
    </row>
    <row r="27" spans="3:22" x14ac:dyDescent="0.3">
      <c r="R27" s="17"/>
    </row>
    <row r="39" spans="16:22" ht="16.5" x14ac:dyDescent="0.3">
      <c r="P39" s="18"/>
      <c r="V39" s="18"/>
    </row>
  </sheetData>
  <mergeCells count="5">
    <mergeCell ref="P17:V17"/>
    <mergeCell ref="P18:V18"/>
    <mergeCell ref="P19:V19"/>
    <mergeCell ref="H6:J6"/>
    <mergeCell ref="C18:K19"/>
  </mergeCells>
  <phoneticPr fontId="1" type="noConversion"/>
  <conditionalFormatting sqref="B7:B14">
    <cfRule type="duplicateValues" dxfId="1" priority="37"/>
  </conditionalFormatting>
  <conditionalFormatting sqref="C7:C13">
    <cfRule type="duplicateValues" dxfId="0" priority="39"/>
  </conditionalFormatting>
  <pageMargins left="0.19685039370078741" right="0.19685039370078741" top="0.59055118110236227" bottom="0.43307086614173229" header="0.51181102362204722" footer="0.35433070866141736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T1</cp:lastModifiedBy>
  <cp:lastPrinted>2026-06-29T04:11:07Z</cp:lastPrinted>
  <dcterms:created xsi:type="dcterms:W3CDTF">2019-03-03T23:00:53Z</dcterms:created>
  <dcterms:modified xsi:type="dcterms:W3CDTF">2026-06-29T04:24:47Z</dcterms:modified>
</cp:coreProperties>
</file>