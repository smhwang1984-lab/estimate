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Z:\05. 생산자료\견적_산정\2026년도\06월\"/>
    </mc:Choice>
  </mc:AlternateContent>
  <xr:revisionPtr revIDLastSave="0" documentId="13_ncr:1_{1C02EBDC-AC4A-439F-8923-08164AE0F742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기계!$A$1:$V$22</definedName>
    <definedName name="_xlnm.Print_Titles" localSheetId="1">기계!#REF!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9" l="1"/>
  <c r="E23" i="9"/>
  <c r="E24" i="9"/>
  <c r="E25" i="9"/>
  <c r="C23" i="9"/>
  <c r="C24" i="9"/>
  <c r="C25" i="9"/>
  <c r="C22" i="9"/>
  <c r="T16" i="10"/>
  <c r="T15" i="10"/>
  <c r="T14" i="10"/>
  <c r="U16" i="10"/>
  <c r="V16" i="10" s="1"/>
  <c r="G25" i="9" s="1"/>
  <c r="U15" i="10"/>
  <c r="V15" i="10" s="1"/>
  <c r="G24" i="9" s="1"/>
  <c r="U14" i="10"/>
  <c r="V14" i="10" s="1"/>
  <c r="G23" i="9" s="1"/>
  <c r="U13" i="10"/>
  <c r="V13" i="10" s="1"/>
  <c r="G22" i="9" s="1"/>
  <c r="T13" i="10"/>
  <c r="A13" i="10"/>
  <c r="A14" i="10"/>
  <c r="A15" i="10"/>
  <c r="A16" i="10"/>
  <c r="E21" i="9"/>
  <c r="C21" i="9"/>
  <c r="C20" i="9"/>
  <c r="B25" i="9"/>
  <c r="B24" i="9"/>
  <c r="B23" i="9"/>
  <c r="B22" i="9"/>
  <c r="B21" i="9"/>
  <c r="B20" i="9"/>
  <c r="B19" i="9"/>
  <c r="B18" i="9"/>
  <c r="B17" i="9"/>
  <c r="B16" i="9"/>
  <c r="A12" i="10"/>
  <c r="A11" i="10"/>
  <c r="A10" i="10"/>
  <c r="A9" i="10"/>
  <c r="A8" i="10"/>
  <c r="A7" i="10"/>
  <c r="T12" i="10"/>
  <c r="U12" i="10"/>
  <c r="V12" i="10" s="1"/>
  <c r="G21" i="9" s="1"/>
  <c r="E20" i="9"/>
  <c r="E19" i="9"/>
  <c r="E18" i="9"/>
  <c r="C19" i="9"/>
  <c r="C18" i="9"/>
  <c r="U11" i="10"/>
  <c r="V11" i="10" s="1"/>
  <c r="T11" i="10"/>
  <c r="U10" i="10"/>
  <c r="V10" i="10" s="1"/>
  <c r="G19" i="9" s="1"/>
  <c r="T10" i="10"/>
  <c r="U9" i="10"/>
  <c r="V9" i="10" s="1"/>
  <c r="G18" i="9" s="1"/>
  <c r="T9" i="10"/>
  <c r="E17" i="9"/>
  <c r="E16" i="9"/>
  <c r="C17" i="9"/>
  <c r="C16" i="9"/>
  <c r="T8" i="10"/>
  <c r="T7" i="10"/>
  <c r="U8" i="10"/>
  <c r="V8" i="10" s="1"/>
  <c r="G17" i="9" s="1"/>
  <c r="U7" i="10"/>
  <c r="V7" i="10" s="1"/>
  <c r="G16" i="9" s="1"/>
  <c r="V17" i="10" l="1"/>
  <c r="G26" i="9" s="1"/>
  <c r="G20" i="9"/>
</calcChain>
</file>

<file path=xl/sharedStrings.xml><?xml version="1.0" encoding="utf-8"?>
<sst xmlns="http://schemas.openxmlformats.org/spreadsheetml/2006/main" count="73" uniqueCount="66">
  <si>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</si>
  <si>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</si>
  <si>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</si>
  <si>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</si>
  <si>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</si>
  <si>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</si>
  <si>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</si>
  <si>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</si>
  <si>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</si>
  <si>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</si>
  <si>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</si>
  <si>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</si>
  <si>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</si>
  <si>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</si>
  <si>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</si>
  <si>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</si>
  <si>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</si>
  <si>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</si>
  <si>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</si>
  <si>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</si>
  <si>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</si>
  <si>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</si>
  <si>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</si>
  <si>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</si>
  <si>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</si>
  <si>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</si>
  <si>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</si>
  <si>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</si>
  <si>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</si>
  <si>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</si>
  <si>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</si>
  <si>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</si>
  <si>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</si>
  <si>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</si>
  <si>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</si>
  <si>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</si>
  <si>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</si>
  <si>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</si>
  <si>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</si>
  <si>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</si>
  <si>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</si>
  <si>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 xml:space="preserve">  제출일자 : 2026.06.02</t>
    <phoneticPr fontId="3" type="noConversion"/>
  </si>
  <si>
    <t>K10M43005</t>
    <phoneticPr fontId="1" type="noConversion"/>
  </si>
  <si>
    <t>블록, 하부용</t>
    <phoneticPr fontId="1" type="noConversion"/>
  </si>
  <si>
    <t>알루미늅합금</t>
    <phoneticPr fontId="1" type="noConversion"/>
  </si>
  <si>
    <t>K10M41023</t>
    <phoneticPr fontId="1" type="noConversion"/>
  </si>
  <si>
    <t>하부가이드, 우측용</t>
    <phoneticPr fontId="1" type="noConversion"/>
  </si>
  <si>
    <t>K10M4121</t>
    <phoneticPr fontId="1" type="noConversion"/>
  </si>
  <si>
    <t>하부가이드, 좌측용</t>
    <phoneticPr fontId="1" type="noConversion"/>
  </si>
  <si>
    <t>K10M41019</t>
    <phoneticPr fontId="1" type="noConversion"/>
  </si>
  <si>
    <t xml:space="preserve">하부가이드, 우측용 </t>
    <phoneticPr fontId="1" type="noConversion"/>
  </si>
  <si>
    <t>K10M41017</t>
    <phoneticPr fontId="1" type="noConversion"/>
  </si>
  <si>
    <t xml:space="preserve">하부가이드, 좌측용 </t>
    <phoneticPr fontId="1" type="noConversion"/>
  </si>
  <si>
    <t>K10M42057</t>
    <phoneticPr fontId="1" type="noConversion"/>
  </si>
  <si>
    <t>블록센서, 감지용</t>
    <phoneticPr fontId="1" type="noConversion"/>
  </si>
  <si>
    <t>일반구조강</t>
    <phoneticPr fontId="1" type="noConversion"/>
  </si>
  <si>
    <t>K10M43009</t>
    <phoneticPr fontId="1" type="noConversion"/>
  </si>
  <si>
    <t>블록, 이송용</t>
    <phoneticPr fontId="1" type="noConversion"/>
  </si>
  <si>
    <t>기계구조강</t>
    <phoneticPr fontId="1" type="noConversion"/>
  </si>
  <si>
    <t>K10M41037</t>
    <phoneticPr fontId="1" type="noConversion"/>
  </si>
  <si>
    <t>가이드, 탄통용, 외측용</t>
    <phoneticPr fontId="1" type="noConversion"/>
  </si>
  <si>
    <t>K10M41036</t>
    <phoneticPr fontId="1" type="noConversion"/>
  </si>
  <si>
    <t xml:space="preserve">가이드, 탄통용, 외측용 </t>
    <phoneticPr fontId="1" type="noConversion"/>
  </si>
  <si>
    <t>K10M41028</t>
    <phoneticPr fontId="1" type="noConversion"/>
  </si>
  <si>
    <t xml:space="preserve">가이드, 탄통용, 내측용 </t>
    <phoneticPr fontId="1" type="noConversion"/>
  </si>
  <si>
    <t>Coment : 블록 소재 작업 기준 
             K10M443009 상대조립품 텍스타 가공가능 여부 확인 요망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</si>
</sst>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06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0" fillId="0" borderId="0" xfId="8" applyFont="1" applyAlignment="1">
      <alignment horizontal="center"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/>
    </xf>
    <xf numFmtId="178" fontId="25" fillId="0" borderId="10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20" fillId="0" borderId="12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3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3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3" fillId="0" borderId="0" xfId="8" applyNumberFormat="1" applyFont="1" applyAlignment="1">
      <alignment horizontal="left" vertical="center" wrapText="1"/>
    </xf>
    <xf numFmtId="0" fontId="20" fillId="0" borderId="7" xfId="11" applyFont="1" applyBorder="1" applyAlignment="1">
      <alignment horizontal="center" vertical="center" wrapText="1" shrinkToFit="1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11" applyFont="1" applyBorder="1" applyAlignment="1">
      <alignment horizontal="center" vertical="center"/>
    </xf>
    <xf numFmtId="0" fontId="12" fillId="0" borderId="7" xfId="8" applyFont="1" applyBorder="1">
      <alignment vertical="center"/>
    </xf>
    <xf numFmtId="181" fontId="16" fillId="0" borderId="7" xfId="11" applyNumberFormat="1" applyFont="1" applyBorder="1" applyAlignment="1">
      <alignment horizontal="center" vertical="center"/>
    </xf>
    <xf numFmtId="182" fontId="16" fillId="0" borderId="7" xfId="11" applyNumberFormat="1" applyFont="1" applyBorder="1" applyAlignment="1">
      <alignment horizontal="center" vertical="center"/>
    </xf>
    <xf numFmtId="183" fontId="16" fillId="0" borderId="7" xfId="11" applyNumberFormat="1" applyFont="1" applyBorder="1" applyAlignment="1">
      <alignment horizontal="center" vertical="center" shrinkToFit="1"/>
    </xf>
    <xf numFmtId="41" fontId="26" fillId="2" borderId="8" xfId="1" applyFont="1" applyFill="1" applyBorder="1" applyAlignment="1">
      <alignment horizontal="center" vertical="center"/>
    </xf>
    <xf numFmtId="181" fontId="14" fillId="0" borderId="10" xfId="8" applyNumberFormat="1" applyFont="1" applyBorder="1" applyAlignment="1">
      <alignment horizontal="center" vertical="center"/>
    </xf>
    <xf numFmtId="182" fontId="14" fillId="0" borderId="10" xfId="8" applyNumberFormat="1" applyFont="1" applyBorder="1" applyAlignment="1">
      <alignment horizontal="center" vertical="center"/>
    </xf>
    <xf numFmtId="183" fontId="6" fillId="0" borderId="10" xfId="0" applyNumberFormat="1" applyFont="1" applyBorder="1" applyAlignment="1">
      <alignment horizontal="center" vertical="center"/>
    </xf>
    <xf numFmtId="41" fontId="26" fillId="0" borderId="11" xfId="1" applyFont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8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wrapText="1"/>
    </xf>
    <xf numFmtId="179" fontId="19" fillId="3" borderId="15" xfId="12" applyNumberFormat="1" applyFont="1" applyFill="1" applyBorder="1" applyAlignment="1">
      <alignment horizontal="center" vertical="center"/>
    </xf>
    <xf numFmtId="0" fontId="26" fillId="3" borderId="15" xfId="8" applyFont="1" applyFill="1" applyBorder="1" applyAlignment="1">
      <alignment horizontal="center" vertical="center"/>
    </xf>
    <xf numFmtId="0" fontId="26" fillId="3" borderId="19" xfId="8" applyFont="1" applyFill="1" applyBorder="1" applyAlignment="1">
      <alignment horizontal="center" vertical="center"/>
    </xf>
    <xf numFmtId="41" fontId="28" fillId="2" borderId="13" xfId="1" applyFont="1" applyFill="1" applyBorder="1" applyAlignment="1"/>
    <xf numFmtId="0" fontId="29" fillId="0" borderId="0" xfId="8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>
      <alignment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 applyAlignment="1">
      <alignment horizontal="left" vertical="center"/>
    </xf>
    <xf numFmtId="0" fontId="37" fillId="0" borderId="0" xfId="8" applyFont="1">
      <alignment vertical="center"/>
    </xf>
    <xf numFmtId="0" fontId="36" fillId="0" borderId="0" xfId="8" applyFont="1">
      <alignment vertical="center"/>
    </xf>
    <xf numFmtId="0" fontId="38" fillId="0" borderId="0" xfId="8" applyFont="1">
      <alignment vertical="center"/>
    </xf>
    <xf numFmtId="0" fontId="38" fillId="0" borderId="0" xfId="9" applyFont="1">
      <alignment vertical="center"/>
    </xf>
    <xf numFmtId="0" fontId="26" fillId="3" borderId="18" xfId="8" applyFont="1" applyFill="1" applyBorder="1" applyAlignment="1">
      <alignment horizontal="center" vertical="center"/>
    </xf>
    <xf numFmtId="178" fontId="25" fillId="0" borderId="20" xfId="1" applyNumberFormat="1" applyFont="1" applyFill="1" applyBorder="1" applyAlignment="1">
      <alignment horizontal="center" vertical="center"/>
    </xf>
    <xf numFmtId="178" fontId="25" fillId="0" borderId="21" xfId="1" applyNumberFormat="1" applyFont="1" applyFill="1" applyBorder="1" applyAlignment="1">
      <alignment horizontal="center" vertical="center"/>
    </xf>
    <xf numFmtId="178" fontId="25" fillId="4" borderId="11" xfId="1" applyNumberFormat="1" applyFont="1" applyFill="1" applyBorder="1" applyAlignment="1">
      <alignment horizontal="center" vertical="center"/>
    </xf>
    <xf numFmtId="178" fontId="25" fillId="0" borderId="8" xfId="1" applyNumberFormat="1" applyFont="1" applyFill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 wrapText="1" shrinkToFit="1"/>
    </xf>
    <xf numFmtId="180" fontId="20" fillId="0" borderId="10" xfId="11" applyNumberFormat="1" applyFont="1" applyBorder="1" applyAlignment="1">
      <alignment horizontal="left" vertical="center" indent="1" shrinkToFit="1"/>
    </xf>
    <xf numFmtId="180" fontId="20" fillId="0" borderId="7" xfId="11" applyNumberFormat="1" applyFont="1" applyBorder="1" applyAlignment="1">
      <alignment horizontal="left" vertical="center" indent="1" shrinkToFit="1"/>
    </xf>
    <xf numFmtId="0" fontId="20" fillId="0" borderId="7" xfId="11" applyFont="1" applyBorder="1" applyAlignment="1">
      <alignment horizontal="left" vertical="center" indent="1" shrinkToFit="1"/>
    </xf>
    <xf numFmtId="0" fontId="12" fillId="0" borderId="10" xfId="8" applyFont="1" applyBorder="1" applyAlignment="1">
      <alignment horizontal="left" vertical="center" indent="1"/>
    </xf>
    <xf numFmtId="0" fontId="25" fillId="0" borderId="4" xfId="8" applyFont="1" applyBorder="1" applyAlignment="1">
      <alignment horizontal="center" vertical="center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 wrapText="1"/>
    </xf>
    <xf numFmtId="0" fontId="25" fillId="0" borderId="3" xfId="8" applyFont="1" applyBorder="1" applyAlignment="1">
      <alignment horizontal="center" vertical="center" wrapText="1"/>
    </xf>
    <xf numFmtId="0" fontId="17" fillId="0" borderId="4" xfId="8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38" fillId="0" borderId="0" xfId="8" applyFont="1">
      <alignment vertical="center"/>
    </xf>
    <xf numFmtId="0" fontId="38" fillId="0" borderId="0" xfId="8" applyFont="1" applyAlignment="1">
      <alignment horizontal="left" vertical="center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18" fillId="3" borderId="16" xfId="11" applyFont="1" applyFill="1" applyBorder="1" applyAlignment="1">
      <alignment horizontal="center" vertical="center" shrinkToFit="1"/>
    </xf>
    <xf numFmtId="0" fontId="18" fillId="3" borderId="17" xfId="11" applyFont="1" applyFill="1" applyBorder="1" applyAlignment="1">
      <alignment horizontal="center" vertical="center" shrinkToFit="1"/>
    </xf>
    <xf numFmtId="0" fontId="18" fillId="3" borderId="18" xfId="11" applyFont="1" applyFill="1" applyBorder="1" applyAlignment="1">
      <alignment horizontal="center" vertical="center" shrinkToFit="1"/>
    </xf>
    <xf numFmtId="0" fontId="39" fillId="0" borderId="0" xfId="8" applyFont="1" applyAlignment="1">
      <alignment horizontal="left" vertical="center" wrapText="1" indent="1"/>
    </xf>
    <xf numFmtId="0" fontId="39" fillId="0" borderId="0" xfId="8" applyFont="1" applyAlignment="1">
      <alignment horizontal="left" vertical="center" indent="1"/>
    </xf>
    <xf numFmtId="0" fontId="40" fillId="0" borderId="12" xfId="11" applyFont="1" applyFill="1" applyBorder="1" applyAlignment="1">
      <alignment horizontal="center" vertical="center"/>
    </xf>
  </cellXfs>
  <cellStyles count="13">
    <cellStyle name="쉼표 [0] 2" xfId="1" xr:uid="{00000000-0005-0000-0000-000000000000}"/>
    <cellStyle name="표준" xfId="0" builtinId="0"/>
    <cellStyle name="표준 10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2 4" xfId="6" xr:uid="{00000000-0005-0000-0000-000006000000}"/>
    <cellStyle name="표준 3" xfId="7" xr:uid="{00000000-0005-0000-0000-000007000000}"/>
    <cellStyle name="표준 3 10" xfId="8" xr:uid="{00000000-0005-0000-0000-000008000000}"/>
    <cellStyle name="표준 3 10 2" xfId="9" xr:uid="{00000000-0005-0000-0000-000009000000}"/>
    <cellStyle name="표준 4" xfId="10" xr:uid="{00000000-0005-0000-0000-00000A000000}"/>
    <cellStyle name="표준 5" xfId="11" xr:uid="{00000000-0005-0000-0000-00000B000000}"/>
    <cellStyle name="표준 7" xfId="12" xr:uid="{00000000-0005-0000-0000-00000C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15</xdr:row>
      <xdr:rowOff>114299</xdr:rowOff>
    </xdr:from>
    <xdr:to>
      <xdr:col>20</xdr:col>
      <xdr:colOff>190500</xdr:colOff>
      <xdr:row>18</xdr:row>
      <xdr:rowOff>285749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8877300" y="5067299"/>
          <a:ext cx="6581775" cy="1114425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4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48567"/>
  <sheetViews>
    <sheetView topLeftCell="A9" workbookViewId="0">
      <selection activeCell="G26" sqref="G26:H26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60" t="s">
        <v>4</v>
      </c>
      <c r="C1" s="61"/>
      <c r="D1" s="61"/>
      <c r="E1" s="61"/>
      <c r="F1" s="61"/>
      <c r="G1" s="61"/>
      <c r="H1" s="61"/>
    </row>
    <row r="2" spans="2:8" ht="27" x14ac:dyDescent="0.3">
      <c r="B2" s="62"/>
      <c r="C2" s="63"/>
      <c r="D2" s="63"/>
      <c r="E2" s="63"/>
      <c r="F2" s="63"/>
      <c r="G2" s="63"/>
      <c r="H2" s="63"/>
    </row>
    <row r="3" spans="2:8" x14ac:dyDescent="0.3">
      <c r="B3" s="64"/>
      <c r="C3" s="64"/>
      <c r="D3" s="64"/>
      <c r="E3" s="64"/>
      <c r="F3" s="65"/>
      <c r="G3" s="66"/>
      <c r="H3" s="66"/>
    </row>
    <row r="4" spans="2:8" ht="39.950000000000003" customHeight="1" x14ac:dyDescent="0.3">
      <c r="B4" s="67" t="s">
        <v>32</v>
      </c>
      <c r="C4" s="68"/>
      <c r="D4" s="68"/>
      <c r="E4" s="68"/>
      <c r="F4" s="69"/>
      <c r="G4" s="69"/>
      <c r="H4" s="69"/>
    </row>
    <row r="5" spans="2:8" ht="21" customHeight="1" x14ac:dyDescent="0.3">
      <c r="B5" s="93" t="s">
        <v>36</v>
      </c>
      <c r="C5" s="93"/>
      <c r="D5" s="93"/>
      <c r="E5" s="93"/>
      <c r="F5" s="70" t="s">
        <v>33</v>
      </c>
      <c r="G5" s="70"/>
      <c r="H5" s="70"/>
    </row>
    <row r="6" spans="2:8" ht="24.75" customHeight="1" x14ac:dyDescent="0.3">
      <c r="B6" s="93" t="s">
        <v>3</v>
      </c>
      <c r="C6" s="93"/>
      <c r="D6" s="93"/>
      <c r="E6" s="93"/>
      <c r="F6" s="70" t="s">
        <v>29</v>
      </c>
      <c r="G6" s="70"/>
      <c r="H6" s="70"/>
    </row>
    <row r="7" spans="2:8" ht="24.75" customHeight="1" x14ac:dyDescent="0.3">
      <c r="B7" s="93" t="s">
        <v>41</v>
      </c>
      <c r="C7" s="93"/>
      <c r="D7" s="93"/>
      <c r="E7" s="93"/>
      <c r="F7" s="94" t="s">
        <v>30</v>
      </c>
      <c r="G7" s="94"/>
      <c r="H7" s="94"/>
    </row>
    <row r="8" spans="2:8" ht="24.75" customHeight="1" x14ac:dyDescent="0.3">
      <c r="B8" s="71" t="s">
        <v>28</v>
      </c>
      <c r="C8" s="70"/>
      <c r="D8" s="70"/>
      <c r="E8" s="70"/>
      <c r="F8" s="70" t="s">
        <v>31</v>
      </c>
      <c r="G8" s="70"/>
      <c r="H8" s="70"/>
    </row>
    <row r="9" spans="2:8" ht="24.75" customHeight="1" x14ac:dyDescent="0.3">
      <c r="B9" s="70" t="s">
        <v>2</v>
      </c>
      <c r="C9" s="70"/>
      <c r="D9" s="70"/>
      <c r="E9" s="70"/>
      <c r="F9" s="70" t="s">
        <v>40</v>
      </c>
      <c r="G9" s="70"/>
      <c r="H9" s="70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24" t="s">
        <v>1</v>
      </c>
      <c r="C15" s="91" t="s">
        <v>34</v>
      </c>
      <c r="D15" s="91"/>
      <c r="E15" s="91" t="s">
        <v>35</v>
      </c>
      <c r="F15" s="97"/>
      <c r="G15" s="95" t="s">
        <v>15</v>
      </c>
      <c r="H15" s="96"/>
    </row>
    <row r="16" spans="2:8" ht="24.75" customHeight="1" x14ac:dyDescent="0.3">
      <c r="B16" s="25">
        <f>ROW()-15</f>
        <v>1</v>
      </c>
      <c r="C16" s="87" t="str">
        <f>기계!$B7</f>
        <v>K10M43005</v>
      </c>
      <c r="D16" s="88"/>
      <c r="E16" s="89" t="str">
        <f>기계!$C7</f>
        <v>블록, 하부용</v>
      </c>
      <c r="F16" s="88"/>
      <c r="G16" s="83">
        <f>기계!$V7</f>
        <v>1346000</v>
      </c>
      <c r="H16" s="84"/>
    </row>
    <row r="17" spans="2:8" ht="24.75" customHeight="1" x14ac:dyDescent="0.3">
      <c r="B17" s="25">
        <f t="shared" ref="B17:B25" si="0">ROW()-15</f>
        <v>2</v>
      </c>
      <c r="C17" s="87" t="str">
        <f>기계!$B8</f>
        <v>K10M41023</v>
      </c>
      <c r="D17" s="88"/>
      <c r="E17" s="89" t="str">
        <f>기계!$C8</f>
        <v>하부가이드, 우측용</v>
      </c>
      <c r="F17" s="90"/>
      <c r="G17" s="83">
        <f>기계!$V8</f>
        <v>646000</v>
      </c>
      <c r="H17" s="84"/>
    </row>
    <row r="18" spans="2:8" ht="24.75" customHeight="1" x14ac:dyDescent="0.3">
      <c r="B18" s="25">
        <f t="shared" si="0"/>
        <v>3</v>
      </c>
      <c r="C18" s="87" t="str">
        <f>기계!$B9</f>
        <v>K10M4121</v>
      </c>
      <c r="D18" s="88"/>
      <c r="E18" s="89" t="str">
        <f>기계!$C9</f>
        <v>하부가이드, 좌측용</v>
      </c>
      <c r="F18" s="90"/>
      <c r="G18" s="83">
        <f>기계!$V9</f>
        <v>646000</v>
      </c>
      <c r="H18" s="84"/>
    </row>
    <row r="19" spans="2:8" ht="24.75" customHeight="1" x14ac:dyDescent="0.3">
      <c r="B19" s="25">
        <f t="shared" si="0"/>
        <v>4</v>
      </c>
      <c r="C19" s="87" t="str">
        <f>기계!$B10</f>
        <v>K10M41019</v>
      </c>
      <c r="D19" s="88"/>
      <c r="E19" s="89" t="str">
        <f>기계!$C10</f>
        <v xml:space="preserve">하부가이드, 우측용 </v>
      </c>
      <c r="F19" s="90"/>
      <c r="G19" s="83">
        <f>기계!$V10</f>
        <v>646000</v>
      </c>
      <c r="H19" s="84"/>
    </row>
    <row r="20" spans="2:8" ht="24.75" customHeight="1" x14ac:dyDescent="0.3">
      <c r="B20" s="25">
        <f t="shared" si="0"/>
        <v>5</v>
      </c>
      <c r="C20" s="87" t="str">
        <f>기계!$B11</f>
        <v>K10M41017</v>
      </c>
      <c r="D20" s="88"/>
      <c r="E20" s="89" t="str">
        <f>기계!$C11</f>
        <v xml:space="preserve">하부가이드, 좌측용 </v>
      </c>
      <c r="F20" s="90"/>
      <c r="G20" s="83">
        <f>기계!$V11</f>
        <v>646000</v>
      </c>
      <c r="H20" s="84"/>
    </row>
    <row r="21" spans="2:8" ht="24.75" customHeight="1" x14ac:dyDescent="0.3">
      <c r="B21" s="25">
        <f t="shared" si="0"/>
        <v>6</v>
      </c>
      <c r="C21" s="87" t="str">
        <f>기계!$B12</f>
        <v>K10M42057</v>
      </c>
      <c r="D21" s="88"/>
      <c r="E21" s="89" t="str">
        <f>기계!$C12</f>
        <v>블록센서, 감지용</v>
      </c>
      <c r="F21" s="90"/>
      <c r="G21" s="83">
        <f>기계!$V12</f>
        <v>50000</v>
      </c>
      <c r="H21" s="84"/>
    </row>
    <row r="22" spans="2:8" ht="24.75" customHeight="1" x14ac:dyDescent="0.3">
      <c r="B22" s="25">
        <f t="shared" si="0"/>
        <v>7</v>
      </c>
      <c r="C22" s="87" t="str">
        <f>기계!$B13</f>
        <v>K10M43009</v>
      </c>
      <c r="D22" s="88"/>
      <c r="E22" s="89" t="str">
        <f>기계!$C13</f>
        <v>블록, 이송용</v>
      </c>
      <c r="F22" s="90"/>
      <c r="G22" s="83">
        <f>기계!$V13</f>
        <v>2741000</v>
      </c>
      <c r="H22" s="84"/>
    </row>
    <row r="23" spans="2:8" ht="24.75" customHeight="1" x14ac:dyDescent="0.3">
      <c r="B23" s="25">
        <f t="shared" si="0"/>
        <v>8</v>
      </c>
      <c r="C23" s="87" t="str">
        <f>기계!$B14</f>
        <v>K10M41037</v>
      </c>
      <c r="D23" s="88"/>
      <c r="E23" s="89" t="str">
        <f>기계!$C14</f>
        <v>가이드, 탄통용, 외측용</v>
      </c>
      <c r="F23" s="90"/>
      <c r="G23" s="83">
        <f>기계!$V14</f>
        <v>651000</v>
      </c>
      <c r="H23" s="84"/>
    </row>
    <row r="24" spans="2:8" ht="24.75" customHeight="1" x14ac:dyDescent="0.3">
      <c r="B24" s="25">
        <f t="shared" si="0"/>
        <v>9</v>
      </c>
      <c r="C24" s="87" t="str">
        <f>기계!$B15</f>
        <v>K10M41036</v>
      </c>
      <c r="D24" s="88"/>
      <c r="E24" s="89" t="str">
        <f>기계!$C15</f>
        <v xml:space="preserve">가이드, 탄통용, 외측용 </v>
      </c>
      <c r="F24" s="90"/>
      <c r="G24" s="83">
        <f>기계!$V15</f>
        <v>651000</v>
      </c>
      <c r="H24" s="84"/>
    </row>
    <row r="25" spans="2:8" ht="24.75" customHeight="1" x14ac:dyDescent="0.3">
      <c r="B25" s="25">
        <f t="shared" si="0"/>
        <v>10</v>
      </c>
      <c r="C25" s="87" t="str">
        <f>기계!$B16</f>
        <v>K10M41028</v>
      </c>
      <c r="D25" s="88"/>
      <c r="E25" s="89" t="str">
        <f>기계!$C16</f>
        <v xml:space="preserve">가이드, 탄통용, 내측용 </v>
      </c>
      <c r="F25" s="90"/>
      <c r="G25" s="83">
        <f>기계!$V16</f>
        <v>511000</v>
      </c>
      <c r="H25" s="84"/>
    </row>
    <row r="26" spans="2:8" ht="24.75" customHeight="1" x14ac:dyDescent="0.3">
      <c r="B26" s="91" t="s">
        <v>0</v>
      </c>
      <c r="C26" s="92"/>
      <c r="D26" s="92"/>
      <c r="E26" s="85"/>
      <c r="F26" s="86"/>
      <c r="G26" s="85">
        <f>기계!V17</f>
        <v>3980000</v>
      </c>
      <c r="H26" s="86"/>
    </row>
    <row r="27" spans="2:8" ht="10.5" customHeight="1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3"/>
      <c r="C28" s="2"/>
      <c r="D28" s="2"/>
      <c r="E28" s="2"/>
      <c r="F28" s="2"/>
      <c r="G28" s="2"/>
      <c r="H28" s="2"/>
    </row>
    <row r="29" spans="2:8" x14ac:dyDescent="0.3">
      <c r="B29" s="2"/>
      <c r="C29" s="2"/>
      <c r="D29" s="2"/>
      <c r="E29" s="2"/>
      <c r="F29" s="2"/>
      <c r="G29" s="2"/>
      <c r="H29" s="2"/>
    </row>
    <row r="30" spans="2:8" x14ac:dyDescent="0.3">
      <c r="B30" s="2"/>
      <c r="C30" s="2"/>
      <c r="D30" s="2"/>
      <c r="E30" s="2"/>
      <c r="F30" s="2"/>
      <c r="G30" s="2"/>
      <c r="H30" s="2"/>
    </row>
    <row r="31" spans="2:8" x14ac:dyDescent="0.3">
      <c r="B31" s="2"/>
      <c r="C31" s="2"/>
      <c r="D31" s="2"/>
      <c r="E31" s="2"/>
      <c r="F31" s="2"/>
      <c r="G31" s="2"/>
      <c r="H31" s="2"/>
    </row>
    <row r="32" spans="2:8" x14ac:dyDescent="0.3">
      <c r="B32" s="2"/>
      <c r="C32" s="2"/>
      <c r="D32" s="2"/>
      <c r="E32" s="2"/>
      <c r="F32" s="2"/>
      <c r="G32" s="2"/>
      <c r="H32" s="2"/>
    </row>
    <row r="33" spans="2:8" x14ac:dyDescent="0.3">
      <c r="B33" s="2"/>
      <c r="C33" s="2"/>
      <c r="D33" s="2"/>
      <c r="E33" s="2"/>
      <c r="F33" s="2"/>
      <c r="G33" s="2"/>
      <c r="H33" s="2"/>
    </row>
    <row r="34" spans="2:8" x14ac:dyDescent="0.3"/>
    <row r="35" spans="2:8" x14ac:dyDescent="0.3"/>
    <row r="36" spans="2:8" x14ac:dyDescent="0.3"/>
    <row r="37" spans="2:8" x14ac:dyDescent="0.3"/>
    <row r="38" spans="2:8" x14ac:dyDescent="0.3"/>
    <row r="1048567" spans="3:4" ht="13.5" customHeight="1" x14ac:dyDescent="0.3">
      <c r="C1048567" s="82"/>
      <c r="D1048567" s="87"/>
    </row>
  </sheetData>
  <mergeCells count="41">
    <mergeCell ref="C1048567:D1048567"/>
    <mergeCell ref="C22:D22"/>
    <mergeCell ref="C23:D23"/>
    <mergeCell ref="C24:D24"/>
    <mergeCell ref="C25:D25"/>
    <mergeCell ref="E22:F22"/>
    <mergeCell ref="E23:F23"/>
    <mergeCell ref="E24:F24"/>
    <mergeCell ref="E25:F25"/>
    <mergeCell ref="B5:E5"/>
    <mergeCell ref="B6:E6"/>
    <mergeCell ref="B7:E7"/>
    <mergeCell ref="F7:H7"/>
    <mergeCell ref="C16:D16"/>
    <mergeCell ref="E16:F16"/>
    <mergeCell ref="G15:H15"/>
    <mergeCell ref="G16:H16"/>
    <mergeCell ref="E15:F15"/>
    <mergeCell ref="C15:D15"/>
    <mergeCell ref="C17:D17"/>
    <mergeCell ref="E17:F17"/>
    <mergeCell ref="C18:D18"/>
    <mergeCell ref="C20:D20"/>
    <mergeCell ref="E20:F20"/>
    <mergeCell ref="C19:D19"/>
    <mergeCell ref="E19:F19"/>
    <mergeCell ref="E18:F18"/>
    <mergeCell ref="G26:H26"/>
    <mergeCell ref="C21:D21"/>
    <mergeCell ref="B26:D26"/>
    <mergeCell ref="E26:F26"/>
    <mergeCell ref="E21:F21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2"/>
  <sheetViews>
    <sheetView tabSelected="1" zoomScale="85" zoomScaleNormal="85" workbookViewId="0">
      <selection activeCell="K7" sqref="K7"/>
    </sheetView>
  </sheetViews>
  <sheetFormatPr defaultRowHeight="12" x14ac:dyDescent="0.3"/>
  <cols>
    <col min="1" max="1" width="6.25" style="6" customWidth="1"/>
    <col min="2" max="2" width="14.375" style="6" bestFit="1" customWidth="1"/>
    <col min="3" max="3" width="32" style="6" customWidth="1"/>
    <col min="4" max="4" width="25.375" style="6" bestFit="1" customWidth="1"/>
    <col min="5" max="5" width="23.75" style="6" bestFit="1" customWidth="1"/>
    <col min="6" max="6" width="4.5" style="6" customWidth="1"/>
    <col min="7" max="7" width="20.125" style="6" bestFit="1" customWidth="1"/>
    <col min="8" max="8" width="7.75" style="27" bestFit="1" customWidth="1"/>
    <col min="9" max="9" width="9.125" style="31" bestFit="1" customWidth="1"/>
    <col min="10" max="10" width="8.75" style="35" bestFit="1" customWidth="1"/>
    <col min="11" max="17" width="7.75" style="6" customWidth="1"/>
    <col min="18" max="18" width="11.125" style="6" customWidth="1"/>
    <col min="19" max="19" width="13.125" style="6" customWidth="1"/>
    <col min="20" max="20" width="6.25" style="6" customWidth="1"/>
    <col min="21" max="22" width="12" style="6" bestFit="1" customWidth="1"/>
    <col min="23" max="16384" width="9" style="6"/>
  </cols>
  <sheetData>
    <row r="1" spans="1:22" ht="17.25" x14ac:dyDescent="0.3">
      <c r="A1" s="5" t="s">
        <v>21</v>
      </c>
      <c r="K1" s="7"/>
      <c r="L1" s="7"/>
      <c r="M1" s="7"/>
      <c r="N1" s="7"/>
      <c r="O1" s="7"/>
      <c r="P1" s="7"/>
      <c r="Q1" s="7"/>
      <c r="R1" s="7"/>
      <c r="S1" s="7"/>
    </row>
    <row r="2" spans="1:22" ht="17.25" x14ac:dyDescent="0.3">
      <c r="A2" s="8" t="s">
        <v>22</v>
      </c>
    </row>
    <row r="3" spans="1:22" ht="13.5" customHeight="1" x14ac:dyDescent="0.3">
      <c r="A3" s="8"/>
    </row>
    <row r="4" spans="1:22" ht="16.5" x14ac:dyDescent="0.3">
      <c r="A4" s="9"/>
      <c r="B4" s="9"/>
      <c r="C4" s="9"/>
      <c r="D4" s="9"/>
      <c r="E4" s="9"/>
      <c r="F4" s="9"/>
      <c r="G4" s="9"/>
      <c r="H4" s="28"/>
      <c r="I4" s="32"/>
      <c r="J4" s="36"/>
    </row>
    <row r="5" spans="1:22" ht="13.5" customHeight="1" thickBot="1" x14ac:dyDescent="0.25">
      <c r="A5" s="10"/>
      <c r="B5" s="11"/>
      <c r="C5" s="11"/>
      <c r="D5" s="11"/>
      <c r="E5" s="12"/>
      <c r="F5" s="12"/>
      <c r="G5" s="12"/>
      <c r="H5" s="29"/>
      <c r="I5" s="33"/>
      <c r="J5" s="37"/>
      <c r="K5" s="59">
        <v>70000</v>
      </c>
      <c r="L5" s="59">
        <v>50000</v>
      </c>
      <c r="M5" s="59">
        <v>40000</v>
      </c>
      <c r="N5" s="59">
        <v>35000</v>
      </c>
      <c r="O5" s="59">
        <v>20000</v>
      </c>
      <c r="P5" s="59">
        <v>15600</v>
      </c>
      <c r="Q5" s="59">
        <v>30000</v>
      </c>
      <c r="R5" s="59">
        <v>35000</v>
      </c>
      <c r="S5" s="59">
        <v>35000</v>
      </c>
    </row>
    <row r="6" spans="1:22" s="20" customFormat="1" ht="24.75" customHeight="1" x14ac:dyDescent="0.3">
      <c r="A6" s="52" t="s">
        <v>14</v>
      </c>
      <c r="B6" s="53" t="s">
        <v>25</v>
      </c>
      <c r="C6" s="54" t="s">
        <v>26</v>
      </c>
      <c r="D6" s="54" t="s">
        <v>23</v>
      </c>
      <c r="E6" s="55" t="s">
        <v>27</v>
      </c>
      <c r="F6" s="55" t="s">
        <v>16</v>
      </c>
      <c r="G6" s="53" t="s">
        <v>17</v>
      </c>
      <c r="H6" s="100" t="s">
        <v>24</v>
      </c>
      <c r="I6" s="101"/>
      <c r="J6" s="102"/>
      <c r="K6" s="56" t="s">
        <v>13</v>
      </c>
      <c r="L6" s="56" t="s">
        <v>39</v>
      </c>
      <c r="M6" s="56" t="s">
        <v>12</v>
      </c>
      <c r="N6" s="56" t="s">
        <v>11</v>
      </c>
      <c r="O6" s="56" t="s">
        <v>10</v>
      </c>
      <c r="P6" s="56" t="s">
        <v>9</v>
      </c>
      <c r="Q6" s="56" t="s">
        <v>8</v>
      </c>
      <c r="R6" s="56" t="s">
        <v>7</v>
      </c>
      <c r="S6" s="57" t="s">
        <v>6</v>
      </c>
      <c r="T6" s="58" t="s">
        <v>5</v>
      </c>
      <c r="U6" s="72" t="s">
        <v>38</v>
      </c>
      <c r="V6" s="58" t="s">
        <v>18</v>
      </c>
    </row>
    <row r="7" spans="1:22" s="19" customFormat="1" ht="30" customHeight="1" x14ac:dyDescent="0.3">
      <c r="A7" s="21">
        <f>ROW()-6</f>
        <v>1</v>
      </c>
      <c r="B7" s="78" t="s">
        <v>42</v>
      </c>
      <c r="C7" s="78" t="s">
        <v>43</v>
      </c>
      <c r="D7" s="77"/>
      <c r="E7" s="105"/>
      <c r="F7" s="22">
        <v>1</v>
      </c>
      <c r="G7" s="81" t="s">
        <v>44</v>
      </c>
      <c r="H7" s="48">
        <v>270</v>
      </c>
      <c r="I7" s="49">
        <v>290</v>
      </c>
      <c r="J7" s="50">
        <v>550</v>
      </c>
      <c r="K7" s="23">
        <v>10</v>
      </c>
      <c r="L7" s="23"/>
      <c r="M7" s="23">
        <v>10</v>
      </c>
      <c r="N7" s="23"/>
      <c r="O7" s="23">
        <v>2</v>
      </c>
      <c r="P7" s="23">
        <v>3</v>
      </c>
      <c r="Q7" s="23">
        <v>3</v>
      </c>
      <c r="R7" s="23"/>
      <c r="S7" s="23">
        <v>2</v>
      </c>
      <c r="T7" s="75">
        <f>SUM($K7:$S7)</f>
        <v>30</v>
      </c>
      <c r="U7" s="73">
        <f>(K7*$K$5+L7*$L$5+M7*$M$5+N7*$N$5+O7*$O$5+P7*$P$5+Q7*$Q$5+S7*$S$5+R7*$R$5)*$F7</f>
        <v>1346800</v>
      </c>
      <c r="V7" s="51">
        <f>ROUNDDOWN($U7,-3)</f>
        <v>1346000</v>
      </c>
    </row>
    <row r="8" spans="1:22" s="19" customFormat="1" ht="30" customHeight="1" x14ac:dyDescent="0.3">
      <c r="A8" s="21">
        <f t="shared" ref="A8:A16" si="0">ROW()-6</f>
        <v>2</v>
      </c>
      <c r="B8" s="78" t="s">
        <v>45</v>
      </c>
      <c r="C8" s="78" t="s">
        <v>46</v>
      </c>
      <c r="D8" s="77"/>
      <c r="E8" s="26"/>
      <c r="F8" s="22">
        <v>1</v>
      </c>
      <c r="G8" s="81" t="s">
        <v>44</v>
      </c>
      <c r="H8" s="48">
        <v>100</v>
      </c>
      <c r="I8" s="49">
        <v>130</v>
      </c>
      <c r="J8" s="50">
        <v>1600</v>
      </c>
      <c r="K8" s="23"/>
      <c r="L8" s="23"/>
      <c r="M8" s="23">
        <v>10</v>
      </c>
      <c r="N8" s="23"/>
      <c r="O8" s="23">
        <v>2</v>
      </c>
      <c r="P8" s="23">
        <v>3</v>
      </c>
      <c r="Q8" s="23">
        <v>3</v>
      </c>
      <c r="R8" s="23"/>
      <c r="S8" s="23">
        <v>2</v>
      </c>
      <c r="T8" s="75">
        <f t="shared" ref="T8:T16" si="1">SUM($K8:$S8)</f>
        <v>20</v>
      </c>
      <c r="U8" s="73">
        <f t="shared" ref="U8" si="2">(K8*$K$5+L8*$L$5+M8*$M$5+N8*$N$5+O8*$O$5+P8*$P$5+Q8*$Q$5+S8*$S$5+R8*$R$5)*$F8</f>
        <v>646800</v>
      </c>
      <c r="V8" s="51">
        <f t="shared" ref="V8:V16" si="3">ROUNDDOWN($U8,-3)</f>
        <v>646000</v>
      </c>
    </row>
    <row r="9" spans="1:22" s="19" customFormat="1" ht="30" customHeight="1" x14ac:dyDescent="0.3">
      <c r="A9" s="21">
        <f t="shared" si="0"/>
        <v>3</v>
      </c>
      <c r="B9" s="78" t="s">
        <v>47</v>
      </c>
      <c r="C9" s="78" t="s">
        <v>48</v>
      </c>
      <c r="D9" s="77"/>
      <c r="E9" s="26"/>
      <c r="F9" s="22">
        <v>1</v>
      </c>
      <c r="G9" s="81" t="s">
        <v>44</v>
      </c>
      <c r="H9" s="48">
        <v>100</v>
      </c>
      <c r="I9" s="49">
        <v>130</v>
      </c>
      <c r="J9" s="50">
        <v>1600</v>
      </c>
      <c r="K9" s="23"/>
      <c r="L9" s="23"/>
      <c r="M9" s="23">
        <v>10</v>
      </c>
      <c r="N9" s="23"/>
      <c r="O9" s="23">
        <v>2</v>
      </c>
      <c r="P9" s="23">
        <v>3</v>
      </c>
      <c r="Q9" s="23">
        <v>3</v>
      </c>
      <c r="R9" s="23"/>
      <c r="S9" s="23">
        <v>2</v>
      </c>
      <c r="T9" s="75">
        <f t="shared" si="1"/>
        <v>20</v>
      </c>
      <c r="U9" s="73">
        <f t="shared" ref="U9:U12" si="4">(K9*$K$5+L9*$L$5+M9*$M$5+N9*$N$5+O9*$O$5+P9*$P$5+Q9*$Q$5+S9*$S$5+R9*$R$5)*$F9</f>
        <v>646800</v>
      </c>
      <c r="V9" s="51">
        <f t="shared" si="3"/>
        <v>646000</v>
      </c>
    </row>
    <row r="10" spans="1:22" s="19" customFormat="1" ht="30" customHeight="1" x14ac:dyDescent="0.3">
      <c r="A10" s="21">
        <f t="shared" si="0"/>
        <v>4</v>
      </c>
      <c r="B10" s="78" t="s">
        <v>49</v>
      </c>
      <c r="C10" s="78" t="s">
        <v>50</v>
      </c>
      <c r="D10" s="77"/>
      <c r="E10" s="26"/>
      <c r="F10" s="22">
        <v>1</v>
      </c>
      <c r="G10" s="81" t="s">
        <v>44</v>
      </c>
      <c r="H10" s="48">
        <v>100</v>
      </c>
      <c r="I10" s="49">
        <v>130</v>
      </c>
      <c r="J10" s="50">
        <v>1600</v>
      </c>
      <c r="K10" s="23"/>
      <c r="L10" s="23"/>
      <c r="M10" s="23">
        <v>10</v>
      </c>
      <c r="N10" s="23"/>
      <c r="O10" s="23">
        <v>2</v>
      </c>
      <c r="P10" s="23">
        <v>3</v>
      </c>
      <c r="Q10" s="23">
        <v>3</v>
      </c>
      <c r="R10" s="23"/>
      <c r="S10" s="23">
        <v>2</v>
      </c>
      <c r="T10" s="75">
        <f t="shared" si="1"/>
        <v>20</v>
      </c>
      <c r="U10" s="73">
        <f t="shared" si="4"/>
        <v>646800</v>
      </c>
      <c r="V10" s="51">
        <f t="shared" si="3"/>
        <v>646000</v>
      </c>
    </row>
    <row r="11" spans="1:22" s="19" customFormat="1" ht="30" customHeight="1" x14ac:dyDescent="0.3">
      <c r="A11" s="21">
        <f t="shared" si="0"/>
        <v>5</v>
      </c>
      <c r="B11" s="78" t="s">
        <v>51</v>
      </c>
      <c r="C11" s="78" t="s">
        <v>52</v>
      </c>
      <c r="D11" s="77"/>
      <c r="E11" s="26"/>
      <c r="F11" s="22">
        <v>1</v>
      </c>
      <c r="G11" s="81" t="s">
        <v>44</v>
      </c>
      <c r="H11" s="48">
        <v>100</v>
      </c>
      <c r="I11" s="49">
        <v>130</v>
      </c>
      <c r="J11" s="50">
        <v>1600</v>
      </c>
      <c r="K11" s="23"/>
      <c r="L11" s="23"/>
      <c r="M11" s="23">
        <v>10</v>
      </c>
      <c r="N11" s="23"/>
      <c r="O11" s="23">
        <v>2</v>
      </c>
      <c r="P11" s="23">
        <v>3</v>
      </c>
      <c r="Q11" s="23">
        <v>3</v>
      </c>
      <c r="R11" s="23"/>
      <c r="S11" s="23">
        <v>2</v>
      </c>
      <c r="T11" s="75">
        <f t="shared" si="1"/>
        <v>20</v>
      </c>
      <c r="U11" s="73">
        <f t="shared" si="4"/>
        <v>646800</v>
      </c>
      <c r="V11" s="51">
        <f t="shared" si="3"/>
        <v>646000</v>
      </c>
    </row>
    <row r="12" spans="1:22" s="19" customFormat="1" ht="30" customHeight="1" x14ac:dyDescent="0.3">
      <c r="A12" s="21">
        <f t="shared" si="0"/>
        <v>6</v>
      </c>
      <c r="B12" s="78" t="s">
        <v>53</v>
      </c>
      <c r="C12" s="78" t="s">
        <v>54</v>
      </c>
      <c r="D12" s="77"/>
      <c r="E12" s="26"/>
      <c r="F12" s="22">
        <v>1</v>
      </c>
      <c r="G12" s="81" t="s">
        <v>55</v>
      </c>
      <c r="H12" s="48">
        <v>25</v>
      </c>
      <c r="I12" s="49">
        <v>30</v>
      </c>
      <c r="J12" s="50">
        <v>60</v>
      </c>
      <c r="K12" s="23"/>
      <c r="L12" s="23"/>
      <c r="M12" s="23">
        <v>0.5</v>
      </c>
      <c r="N12" s="23"/>
      <c r="O12" s="23">
        <v>0.2</v>
      </c>
      <c r="P12" s="23">
        <v>0.2</v>
      </c>
      <c r="Q12" s="23">
        <v>0.2</v>
      </c>
      <c r="R12" s="23"/>
      <c r="S12" s="23">
        <v>0.5</v>
      </c>
      <c r="T12" s="75">
        <f t="shared" si="1"/>
        <v>1.5999999999999999</v>
      </c>
      <c r="U12" s="73">
        <f t="shared" si="4"/>
        <v>50620</v>
      </c>
      <c r="V12" s="51">
        <f t="shared" si="3"/>
        <v>50000</v>
      </c>
    </row>
    <row r="13" spans="1:22" s="19" customFormat="1" ht="30" customHeight="1" x14ac:dyDescent="0.3">
      <c r="A13" s="21">
        <f t="shared" si="0"/>
        <v>7</v>
      </c>
      <c r="B13" s="78" t="s">
        <v>56</v>
      </c>
      <c r="C13" s="78" t="s">
        <v>57</v>
      </c>
      <c r="D13" s="77"/>
      <c r="E13" s="26"/>
      <c r="F13" s="22">
        <v>1</v>
      </c>
      <c r="G13" s="81" t="s">
        <v>58</v>
      </c>
      <c r="H13" s="48">
        <v>165</v>
      </c>
      <c r="I13" s="49">
        <v>250</v>
      </c>
      <c r="J13" s="50">
        <v>520</v>
      </c>
      <c r="K13" s="23">
        <v>23</v>
      </c>
      <c r="L13" s="23"/>
      <c r="M13" s="23">
        <v>20</v>
      </c>
      <c r="N13" s="23"/>
      <c r="O13" s="23">
        <v>1</v>
      </c>
      <c r="P13" s="23">
        <v>3</v>
      </c>
      <c r="Q13" s="23">
        <v>3</v>
      </c>
      <c r="R13" s="23"/>
      <c r="S13" s="23">
        <v>5</v>
      </c>
      <c r="T13" s="75">
        <f t="shared" si="1"/>
        <v>55</v>
      </c>
      <c r="U13" s="73">
        <f t="shared" ref="U13:U16" si="5">(K13*$K$5+L13*$L$5+M13*$M$5+N13*$N$5+O13*$O$5+P13*$P$5+Q13*$Q$5+S13*$S$5+R13*$R$5)*$F13</f>
        <v>2741800</v>
      </c>
      <c r="V13" s="51">
        <f t="shared" si="3"/>
        <v>2741000</v>
      </c>
    </row>
    <row r="14" spans="1:22" s="19" customFormat="1" ht="30" customHeight="1" x14ac:dyDescent="0.3">
      <c r="A14" s="21">
        <f t="shared" si="0"/>
        <v>8</v>
      </c>
      <c r="B14" s="78" t="s">
        <v>59</v>
      </c>
      <c r="C14" s="78" t="s">
        <v>60</v>
      </c>
      <c r="D14" s="77"/>
      <c r="E14" s="26"/>
      <c r="F14" s="22">
        <v>1</v>
      </c>
      <c r="G14" s="81" t="s">
        <v>58</v>
      </c>
      <c r="H14" s="48">
        <v>40</v>
      </c>
      <c r="I14" s="49">
        <v>75</v>
      </c>
      <c r="J14" s="50">
        <v>580</v>
      </c>
      <c r="K14" s="23">
        <v>6</v>
      </c>
      <c r="L14" s="23"/>
      <c r="M14" s="23">
        <v>1.5</v>
      </c>
      <c r="N14" s="23"/>
      <c r="O14" s="23">
        <v>0.5</v>
      </c>
      <c r="P14" s="23">
        <v>2</v>
      </c>
      <c r="Q14" s="23">
        <v>2</v>
      </c>
      <c r="R14" s="23"/>
      <c r="S14" s="23">
        <v>2</v>
      </c>
      <c r="T14" s="75">
        <f t="shared" si="1"/>
        <v>14</v>
      </c>
      <c r="U14" s="73">
        <f t="shared" si="5"/>
        <v>651200</v>
      </c>
      <c r="V14" s="51">
        <f t="shared" si="3"/>
        <v>651000</v>
      </c>
    </row>
    <row r="15" spans="1:22" s="19" customFormat="1" ht="30" customHeight="1" x14ac:dyDescent="0.3">
      <c r="A15" s="21">
        <f t="shared" si="0"/>
        <v>9</v>
      </c>
      <c r="B15" s="78" t="s">
        <v>61</v>
      </c>
      <c r="C15" s="78" t="s">
        <v>62</v>
      </c>
      <c r="D15" s="77"/>
      <c r="E15" s="26"/>
      <c r="F15" s="22">
        <v>1</v>
      </c>
      <c r="G15" s="81" t="s">
        <v>58</v>
      </c>
      <c r="H15" s="48">
        <v>40</v>
      </c>
      <c r="I15" s="49">
        <v>75</v>
      </c>
      <c r="J15" s="50">
        <v>580</v>
      </c>
      <c r="K15" s="23">
        <v>6</v>
      </c>
      <c r="L15" s="23"/>
      <c r="M15" s="23">
        <v>1.5</v>
      </c>
      <c r="N15" s="23"/>
      <c r="O15" s="23">
        <v>0.5</v>
      </c>
      <c r="P15" s="23">
        <v>2</v>
      </c>
      <c r="Q15" s="23">
        <v>2</v>
      </c>
      <c r="R15" s="23"/>
      <c r="S15" s="23">
        <v>2</v>
      </c>
      <c r="T15" s="75">
        <f t="shared" si="1"/>
        <v>14</v>
      </c>
      <c r="U15" s="73">
        <f t="shared" si="5"/>
        <v>651200</v>
      </c>
      <c r="V15" s="51">
        <f t="shared" si="3"/>
        <v>651000</v>
      </c>
    </row>
    <row r="16" spans="1:22" s="19" customFormat="1" ht="30" customHeight="1" x14ac:dyDescent="0.3">
      <c r="A16" s="21">
        <f t="shared" si="0"/>
        <v>10</v>
      </c>
      <c r="B16" s="78" t="s">
        <v>63</v>
      </c>
      <c r="C16" s="78" t="s">
        <v>64</v>
      </c>
      <c r="D16" s="77"/>
      <c r="E16" s="77"/>
      <c r="F16" s="22">
        <v>1</v>
      </c>
      <c r="G16" s="81" t="s">
        <v>58</v>
      </c>
      <c r="H16" s="48">
        <v>45</v>
      </c>
      <c r="I16" s="49">
        <v>85</v>
      </c>
      <c r="J16" s="50">
        <v>490</v>
      </c>
      <c r="K16" s="23">
        <v>4</v>
      </c>
      <c r="L16" s="23"/>
      <c r="M16" s="23">
        <v>1.5</v>
      </c>
      <c r="N16" s="23"/>
      <c r="O16" s="23">
        <v>0.5</v>
      </c>
      <c r="P16" s="23">
        <v>2</v>
      </c>
      <c r="Q16" s="23">
        <v>2</v>
      </c>
      <c r="R16" s="23"/>
      <c r="S16" s="23">
        <v>2</v>
      </c>
      <c r="T16" s="75">
        <f t="shared" si="1"/>
        <v>12</v>
      </c>
      <c r="U16" s="73">
        <f t="shared" si="5"/>
        <v>511200</v>
      </c>
      <c r="V16" s="51">
        <f t="shared" si="3"/>
        <v>511000</v>
      </c>
    </row>
    <row r="17" spans="1:22" s="19" customFormat="1" ht="30" customHeight="1" thickBot="1" x14ac:dyDescent="0.35">
      <c r="A17" s="41"/>
      <c r="B17" s="79"/>
      <c r="C17" s="80"/>
      <c r="D17" s="39"/>
      <c r="E17" s="42"/>
      <c r="F17" s="42"/>
      <c r="G17" s="43"/>
      <c r="H17" s="44"/>
      <c r="I17" s="45"/>
      <c r="J17" s="46"/>
      <c r="K17" s="40"/>
      <c r="L17" s="40"/>
      <c r="M17" s="40"/>
      <c r="N17" s="40"/>
      <c r="O17" s="40"/>
      <c r="P17" s="40"/>
      <c r="Q17" s="40"/>
      <c r="R17" s="40"/>
      <c r="S17" s="40"/>
      <c r="T17" s="76"/>
      <c r="U17" s="74" t="s">
        <v>37</v>
      </c>
      <c r="V17" s="47">
        <f>SUM(V7:V12)</f>
        <v>3980000</v>
      </c>
    </row>
    <row r="18" spans="1:22" ht="15.75" customHeight="1" x14ac:dyDescent="0.3">
      <c r="A18" s="13"/>
      <c r="B18" s="14"/>
      <c r="C18" s="14"/>
      <c r="D18" s="14"/>
      <c r="E18" s="14"/>
      <c r="F18" s="14"/>
      <c r="G18" s="14"/>
      <c r="H18" s="30"/>
      <c r="I18" s="34"/>
      <c r="J18" s="38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/>
      <c r="V18" s="16"/>
    </row>
    <row r="20" spans="1:22" ht="26.25" x14ac:dyDescent="0.5">
      <c r="P20" s="98" t="s">
        <v>19</v>
      </c>
      <c r="Q20" s="98"/>
      <c r="R20" s="98"/>
      <c r="S20" s="98"/>
      <c r="T20" s="98"/>
      <c r="U20" s="98"/>
      <c r="V20" s="98"/>
    </row>
    <row r="21" spans="1:22" ht="26.25" x14ac:dyDescent="0.5">
      <c r="C21" s="103" t="s">
        <v>65</v>
      </c>
      <c r="D21" s="104"/>
      <c r="E21" s="104"/>
      <c r="F21" s="104"/>
      <c r="G21" s="104"/>
      <c r="H21" s="104"/>
      <c r="I21" s="104"/>
      <c r="J21" s="104"/>
      <c r="K21" s="104"/>
      <c r="P21" s="99">
        <v>46188</v>
      </c>
      <c r="Q21" s="99"/>
      <c r="R21" s="99"/>
      <c r="S21" s="99"/>
      <c r="T21" s="99"/>
      <c r="U21" s="99"/>
      <c r="V21" s="99"/>
    </row>
    <row r="22" spans="1:22" ht="26.25" x14ac:dyDescent="0.5">
      <c r="C22" s="104"/>
      <c r="D22" s="104"/>
      <c r="E22" s="104"/>
      <c r="F22" s="104"/>
      <c r="G22" s="104"/>
      <c r="H22" s="104"/>
      <c r="I22" s="104"/>
      <c r="J22" s="104"/>
      <c r="K22" s="104"/>
      <c r="P22" s="98" t="s">
        <v>20</v>
      </c>
      <c r="Q22" s="98"/>
      <c r="R22" s="98"/>
      <c r="S22" s="98"/>
      <c r="T22" s="98"/>
      <c r="U22" s="98"/>
      <c r="V22" s="98"/>
    </row>
    <row r="30" spans="1:22" x14ac:dyDescent="0.3">
      <c r="R30" s="17"/>
    </row>
    <row r="42" spans="16:22" ht="16.5" x14ac:dyDescent="0.3">
      <c r="P42" s="18"/>
      <c r="V42" s="18"/>
    </row>
  </sheetData>
  <mergeCells count="5">
    <mergeCell ref="P20:V20"/>
    <mergeCell ref="P21:V21"/>
    <mergeCell ref="P22:V22"/>
    <mergeCell ref="H6:J6"/>
    <mergeCell ref="C21:K22"/>
  </mergeCells>
  <phoneticPr fontId="1" type="noConversion"/>
  <conditionalFormatting sqref="B7:B17">
    <cfRule type="duplicateValues" dxfId="1" priority="37"/>
  </conditionalFormatting>
  <conditionalFormatting sqref="C7:C16">
    <cfRule type="duplicateValues" dxfId="0" priority="39"/>
  </conditionalFormatting>
  <pageMargins left="0.19685039370078741" right="0.19685039370078741" top="0.59055118110236227" bottom="0.43307086614173229" header="0.51181102362204722" footer="0.35433070866141736"/>
  <pageSetup paperSize="9" scale="5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E07A-9E3F-4FC2-944D-57E18C23F0F4}">
  <dimension ref="A1"/>
  <sheetViews>
    <sheetView workbookViewId="0"/>
  </sheetViews>
  <sheetFormatPr defaultRowHeight="16.5" x14ac:dyDescent="0.3"/>
  <sheetData/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견적서</vt:lpstr>
      <vt:lpstr>기계</vt:lpstr>
      <vt:lpstr>Sheet1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thinpc202408</cp:lastModifiedBy>
  <cp:lastPrinted>2026-06-15T00:00:59Z</cp:lastPrinted>
  <dcterms:created xsi:type="dcterms:W3CDTF">2019-03-03T23:00:53Z</dcterms:created>
  <dcterms:modified xsi:type="dcterms:W3CDTF">2026-06-15T00:01:15Z</dcterms:modified>
</cp:coreProperties>
</file>