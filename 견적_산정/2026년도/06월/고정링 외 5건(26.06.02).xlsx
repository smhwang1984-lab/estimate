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Z:\05. 생산자료\견적_산정\2026년도\06월\"/>
    </mc:Choice>
  </mc:AlternateContent>
  <xr:revisionPtr revIDLastSave="0" documentId="13_ncr:1_{B1001214-21E5-43D6-98A7-EF11D5BFCFB2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견적서" sheetId="9" r:id="rId1"/>
    <sheet name="기계" sheetId="10" r:id="rId2"/>
    <sheet name="Sheet1" sheetId="11" r:id="rId3"/>
  </sheets>
  <externalReferences>
    <externalReference r:id="rId4"/>
  </externalReferences>
  <definedNames>
    <definedName name="_xlnm._FilterDatabase" localSheetId="1" hidden="1">기계!$A$6:$V$6</definedName>
    <definedName name="_Order1" hidden="1">255</definedName>
    <definedName name="a">[1]ISA3월!$D$16135</definedName>
    <definedName name="_xlnm.Print_Area" localSheetId="1">기계!$A$1:$V$18</definedName>
    <definedName name="_xlnm.Print_Titles" localSheetId="1">기계!#REF!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9" l="1"/>
  <c r="E20" i="9"/>
  <c r="E19" i="9"/>
  <c r="E18" i="9"/>
  <c r="C21" i="9"/>
  <c r="C20" i="9"/>
  <c r="C19" i="9"/>
  <c r="C18" i="9"/>
  <c r="U12" i="10"/>
  <c r="V12" i="10" s="1"/>
  <c r="G21" i="9" s="1"/>
  <c r="T12" i="10"/>
  <c r="U11" i="10"/>
  <c r="V11" i="10" s="1"/>
  <c r="T11" i="10"/>
  <c r="U10" i="10"/>
  <c r="V10" i="10" s="1"/>
  <c r="G19" i="9" s="1"/>
  <c r="T10" i="10"/>
  <c r="U9" i="10"/>
  <c r="V9" i="10" s="1"/>
  <c r="G18" i="9" s="1"/>
  <c r="T9" i="10"/>
  <c r="E17" i="9"/>
  <c r="E16" i="9"/>
  <c r="C17" i="9"/>
  <c r="C16" i="9"/>
  <c r="T8" i="10"/>
  <c r="T7" i="10"/>
  <c r="U8" i="10"/>
  <c r="V8" i="10" s="1"/>
  <c r="G17" i="9" s="1"/>
  <c r="U7" i="10"/>
  <c r="V7" i="10" s="1"/>
  <c r="G16" i="9" s="1"/>
  <c r="V13" i="10" l="1"/>
  <c r="G20" i="9"/>
  <c r="A8" i="10"/>
  <c r="A7" i="10"/>
  <c r="P17" i="10"/>
  <c r="G26" i="9" l="1"/>
</calcChain>
</file>

<file path=xl/sharedStrings.xml><?xml version="1.0" encoding="utf-8"?>
<sst xmlns="http://schemas.openxmlformats.org/spreadsheetml/2006/main" count="70" uniqueCount="55">
  <si>
    <t>합계</t>
    <phoneticPr fontId="3" type="noConversion"/>
  </si>
  <si>
    <t>No</t>
    <phoneticPr fontId="3" type="noConversion"/>
  </si>
  <si>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</si>
  <si>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</si>
  <si>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</si>
  <si>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</si>
  <si>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프로그램 및치구</t>
    <phoneticPr fontId="4" type="noConversion"/>
  </si>
  <si>
    <t>연삭 or 와이어</t>
    <phoneticPr fontId="3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</si>
  <si>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</si>
  <si>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</si>
  <si>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</si>
  <si>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</si>
  <si>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</si>
  <si>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</si>
  <si>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</si>
  <si>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견적단가</t>
    <phoneticPr fontId="3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</si>
  <si>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</si>
  <si>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</si>
  <si>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</si>
  <si>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</si>
  <si>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</si>
  <si>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</si>
  <si>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</si>
  <si>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</si>
  <si>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Size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</si>
  <si>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</si>
  <si>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</si>
  <si>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</si>
  <si>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</si>
  <si>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</si>
  <si>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</si>
  <si>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</si>
  <si>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</si>
  <si>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</si>
  <si>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>품번</t>
    <phoneticPr fontId="3" type="noConversion"/>
  </si>
  <si>
    <t>품명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</si>
  <si>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</si>
  <si>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</si>
  <si>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</si>
  <si>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</si>
  <si>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</si>
  <si>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>고정링 1</t>
    <phoneticPr fontId="1" type="noConversion"/>
  </si>
  <si>
    <t>고정링 2</t>
    <phoneticPr fontId="1" type="noConversion"/>
  </si>
  <si>
    <t>소재 블록 가능여부 확인필요</t>
    <phoneticPr fontId="1" type="noConversion"/>
  </si>
  <si>
    <t>AL7075-T6</t>
    <phoneticPr fontId="1" type="noConversion"/>
  </si>
  <si>
    <t>알루미늄 합급 봉 및 선</t>
    <phoneticPr fontId="1" type="noConversion"/>
  </si>
  <si>
    <t>후방마개</t>
    <phoneticPr fontId="1" type="noConversion"/>
  </si>
  <si>
    <t>후방덮개</t>
    <phoneticPr fontId="1" type="noConversion"/>
  </si>
  <si>
    <t>내부 라이너</t>
    <phoneticPr fontId="1" type="noConversion"/>
  </si>
  <si>
    <t>전방캡고정링</t>
    <phoneticPr fontId="1" type="noConversion"/>
  </si>
  <si>
    <t xml:space="preserve">방전가공 필요 </t>
    <phoneticPr fontId="1" type="noConversion"/>
  </si>
  <si>
    <t>NC 선반 가공품 불가</t>
    <phoneticPr fontId="1" type="noConversion"/>
  </si>
  <si>
    <t>블록의 경우 1,2 동일</t>
    <phoneticPr fontId="1" type="noConversion"/>
  </si>
  <si>
    <t xml:space="preserve">Coment : 1번 2번 자재 블록으로 가능 여부 확인이 필요, 블록 형태의 자재의 경우 2번을 따름. 
           3~6번 선반 품목 작업 불가능. </t>
    <phoneticPr fontId="1" type="noConversion"/>
  </si>
  <si>
    <t xml:space="preserve">  제출일자 : 2026.06.02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</si>
</sst>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&quot;₩&quot;#,##0_);[Red]\(&quot;₩&quot;#,##0\)"/>
    <numFmt numFmtId="177" formatCode="#,##0_ "/>
    <numFmt numFmtId="178" formatCode="_-* #,##0.0_-;\-* #,##0.0_-;_-* &quot;-&quot;_-;_-@_-"/>
    <numFmt numFmtId="179" formatCode="0.00;;"/>
    <numFmt numFmtId="180" formatCode="0.0"/>
    <numFmt numFmtId="181" formatCode="&quot;T&quot;\ #,##0.0"/>
    <numFmt numFmtId="182" formatCode="&quot;W &quot;0.0\ "/>
    <numFmt numFmtId="183" formatCode="&quot;L &quot;0.0"/>
  </numFmts>
  <fonts count="4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17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0" fillId="0" borderId="0" xfId="8" applyFont="1" applyAlignment="1">
      <alignment horizontal="center"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41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2" fillId="0" borderId="0" xfId="8" applyFont="1" applyAlignment="1">
      <alignment horizontal="right" vertical="center" wrapText="1"/>
    </xf>
    <xf numFmtId="0" fontId="23" fillId="0" borderId="0" xfId="8" applyFont="1" applyAlignment="1">
      <alignment horizontal="left" vertical="center" wrapText="1"/>
    </xf>
    <xf numFmtId="178" fontId="12" fillId="0" borderId="0" xfId="1" applyNumberFormat="1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8" applyNumberFormat="1" applyFont="1">
      <alignment vertical="center"/>
    </xf>
    <xf numFmtId="0" fontId="21" fillId="0" borderId="0" xfId="8" applyFont="1" applyAlignment="1">
      <alignment vertical="center" wrapText="1"/>
    </xf>
    <xf numFmtId="0" fontId="25" fillId="0" borderId="0" xfId="8" applyFont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180" fontId="20" fillId="0" borderId="7" xfId="11" applyNumberFormat="1" applyFont="1" applyBorder="1" applyAlignment="1">
      <alignment horizontal="center" vertical="center" shrinkToFit="1"/>
    </xf>
    <xf numFmtId="178" fontId="25" fillId="0" borderId="7" xfId="1" applyNumberFormat="1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80" fontId="20" fillId="0" borderId="12" xfId="11" applyNumberFormat="1" applyFont="1" applyBorder="1" applyAlignment="1">
      <alignment horizontal="center" vertical="center" shrinkToFit="1"/>
    </xf>
    <xf numFmtId="0" fontId="20" fillId="0" borderId="12" xfId="11" applyFont="1" applyBorder="1" applyAlignment="1">
      <alignment horizontal="center" vertical="center"/>
    </xf>
    <xf numFmtId="178" fontId="25" fillId="0" borderId="12" xfId="1" applyNumberFormat="1" applyFont="1" applyFill="1" applyBorder="1" applyAlignment="1">
      <alignment horizontal="center" vertical="center"/>
    </xf>
    <xf numFmtId="0" fontId="17" fillId="0" borderId="2" xfId="8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0" fontId="20" fillId="0" borderId="14" xfId="11" applyFont="1" applyBorder="1" applyAlignment="1">
      <alignment horizontal="center" vertical="center"/>
    </xf>
    <xf numFmtId="181" fontId="12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181" fontId="16" fillId="0" borderId="0" xfId="0" applyNumberFormat="1" applyFont="1">
      <alignment vertical="center"/>
    </xf>
    <xf numFmtId="181" fontId="23" fillId="0" borderId="0" xfId="8" applyNumberFormat="1" applyFont="1" applyAlignment="1">
      <alignment horizontal="left" vertical="center" wrapText="1"/>
    </xf>
    <xf numFmtId="182" fontId="12" fillId="0" borderId="0" xfId="8" applyNumberFormat="1" applyFont="1">
      <alignment vertical="center"/>
    </xf>
    <xf numFmtId="182" fontId="14" fillId="0" borderId="0" xfId="8" applyNumberFormat="1" applyFont="1">
      <alignment vertical="center"/>
    </xf>
    <xf numFmtId="182" fontId="16" fillId="0" borderId="0" xfId="0" applyNumberFormat="1" applyFont="1">
      <alignment vertical="center"/>
    </xf>
    <xf numFmtId="182" fontId="23" fillId="0" borderId="0" xfId="8" applyNumberFormat="1" applyFont="1" applyAlignment="1">
      <alignment horizontal="left" vertical="center" wrapText="1"/>
    </xf>
    <xf numFmtId="183" fontId="12" fillId="0" borderId="0" xfId="8" applyNumberFormat="1" applyFont="1">
      <alignment vertical="center"/>
    </xf>
    <xf numFmtId="183" fontId="14" fillId="0" borderId="0" xfId="8" applyNumberFormat="1" applyFont="1">
      <alignment vertical="center"/>
    </xf>
    <xf numFmtId="183" fontId="16" fillId="0" borderId="0" xfId="0" applyNumberFormat="1" applyFont="1">
      <alignment vertical="center"/>
    </xf>
    <xf numFmtId="183" fontId="23" fillId="0" borderId="0" xfId="8" applyNumberFormat="1" applyFont="1" applyAlignment="1">
      <alignment horizontal="left" vertical="center" wrapText="1"/>
    </xf>
    <xf numFmtId="180" fontId="20" fillId="0" borderId="9" xfId="11" applyNumberFormat="1" applyFont="1" applyBorder="1" applyAlignment="1">
      <alignment horizontal="center" vertical="center" shrinkToFit="1"/>
    </xf>
    <xf numFmtId="0" fontId="20" fillId="0" borderId="9" xfId="11" applyFont="1" applyBorder="1" applyAlignment="1">
      <alignment horizontal="center" vertical="center" shrinkToFit="1"/>
    </xf>
    <xf numFmtId="0" fontId="20" fillId="0" borderId="9" xfId="11" applyFont="1" applyBorder="1" applyAlignment="1">
      <alignment horizontal="center" vertical="center" wrapText="1" shrinkToFit="1"/>
    </xf>
    <xf numFmtId="178" fontId="25" fillId="0" borderId="9" xfId="1" applyNumberFormat="1" applyFont="1" applyFill="1" applyBorder="1" applyAlignment="1">
      <alignment horizontal="center" vertical="center"/>
    </xf>
    <xf numFmtId="181" fontId="16" fillId="0" borderId="7" xfId="11" applyNumberFormat="1" applyFont="1" applyBorder="1" applyAlignment="1">
      <alignment horizontal="center" vertical="center"/>
    </xf>
    <xf numFmtId="182" fontId="16" fillId="0" borderId="7" xfId="11" applyNumberFormat="1" applyFont="1" applyBorder="1" applyAlignment="1">
      <alignment horizontal="center" vertical="center"/>
    </xf>
    <xf numFmtId="183" fontId="16" fillId="0" borderId="7" xfId="11" applyNumberFormat="1" applyFont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/>
    </xf>
    <xf numFmtId="0" fontId="20" fillId="0" borderId="9" xfId="11" applyFont="1" applyBorder="1" applyAlignment="1">
      <alignment horizontal="center" vertical="center"/>
    </xf>
    <xf numFmtId="0" fontId="12" fillId="0" borderId="9" xfId="8" applyFont="1" applyBorder="1">
      <alignment vertical="center"/>
    </xf>
    <xf numFmtId="181" fontId="16" fillId="0" borderId="9" xfId="11" applyNumberFormat="1" applyFont="1" applyBorder="1" applyAlignment="1">
      <alignment horizontal="center" vertical="center"/>
    </xf>
    <xf numFmtId="182" fontId="16" fillId="0" borderId="9" xfId="11" applyNumberFormat="1" applyFont="1" applyBorder="1" applyAlignment="1">
      <alignment horizontal="center" vertical="center"/>
    </xf>
    <xf numFmtId="183" fontId="16" fillId="0" borderId="9" xfId="11" applyNumberFormat="1" applyFont="1" applyBorder="1" applyAlignment="1">
      <alignment horizontal="center" vertical="center" shrinkToFit="1"/>
    </xf>
    <xf numFmtId="41" fontId="26" fillId="2" borderId="10" xfId="1" applyFont="1" applyFill="1" applyBorder="1" applyAlignment="1">
      <alignment horizontal="center" vertical="center"/>
    </xf>
    <xf numFmtId="0" fontId="12" fillId="0" borderId="12" xfId="8" applyFont="1" applyBorder="1">
      <alignment vertical="center"/>
    </xf>
    <xf numFmtId="181" fontId="14" fillId="0" borderId="12" xfId="8" applyNumberFormat="1" applyFont="1" applyBorder="1" applyAlignment="1">
      <alignment horizontal="center" vertical="center"/>
    </xf>
    <xf numFmtId="182" fontId="14" fillId="0" borderId="12" xfId="8" applyNumberFormat="1" applyFont="1" applyBorder="1" applyAlignment="1">
      <alignment horizontal="center" vertical="center"/>
    </xf>
    <xf numFmtId="183" fontId="6" fillId="0" borderId="12" xfId="0" applyNumberFormat="1" applyFont="1" applyBorder="1" applyAlignment="1">
      <alignment horizontal="center" vertical="center"/>
    </xf>
    <xf numFmtId="41" fontId="26" fillId="0" borderId="13" xfId="1" applyFont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8" fillId="3" borderId="17" xfId="11" applyFont="1" applyFill="1" applyBorder="1" applyAlignment="1">
      <alignment horizontal="center" vertical="center" shrinkToFit="1"/>
    </xf>
    <xf numFmtId="0" fontId="19" fillId="3" borderId="17" xfId="11" applyFont="1" applyFill="1" applyBorder="1" applyAlignment="1">
      <alignment horizontal="center" vertical="center" shrinkToFit="1"/>
    </xf>
    <xf numFmtId="0" fontId="19" fillId="3" borderId="17" xfId="11" applyFont="1" applyFill="1" applyBorder="1" applyAlignment="1">
      <alignment horizontal="center" vertical="center" wrapText="1"/>
    </xf>
    <xf numFmtId="179" fontId="19" fillId="3" borderId="17" xfId="12" applyNumberFormat="1" applyFont="1" applyFill="1" applyBorder="1" applyAlignment="1">
      <alignment horizontal="center" vertical="center"/>
    </xf>
    <xf numFmtId="0" fontId="26" fillId="3" borderId="17" xfId="8" applyFont="1" applyFill="1" applyBorder="1" applyAlignment="1">
      <alignment horizontal="center" vertical="center"/>
    </xf>
    <xf numFmtId="0" fontId="26" fillId="3" borderId="21" xfId="8" applyFont="1" applyFill="1" applyBorder="1" applyAlignment="1">
      <alignment horizontal="center" vertical="center"/>
    </xf>
    <xf numFmtId="41" fontId="28" fillId="2" borderId="15" xfId="1" applyFont="1" applyFill="1" applyBorder="1" applyAlignment="1"/>
    <xf numFmtId="0" fontId="29" fillId="0" borderId="0" xfId="8" applyFont="1" applyAlignment="1">
      <alignment horizontal="centerContinuous" vertical="center"/>
    </xf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 applyAlignment="1">
      <alignment horizontal="centerContinuous" vertical="center"/>
    </xf>
    <xf numFmtId="0" fontId="33" fillId="0" borderId="0" xfId="8" applyFont="1">
      <alignment vertical="center"/>
    </xf>
    <xf numFmtId="0" fontId="34" fillId="0" borderId="0" xfId="8" applyFont="1">
      <alignment vertical="center"/>
    </xf>
    <xf numFmtId="0" fontId="35" fillId="0" borderId="0" xfId="8" applyFont="1">
      <alignment vertical="center"/>
    </xf>
    <xf numFmtId="0" fontId="36" fillId="0" borderId="0" xfId="8" applyFont="1" applyAlignment="1">
      <alignment horizontal="left" vertical="center"/>
    </xf>
    <xf numFmtId="0" fontId="37" fillId="0" borderId="0" xfId="8" applyFont="1">
      <alignment vertical="center"/>
    </xf>
    <xf numFmtId="0" fontId="36" fillId="0" borderId="0" xfId="8" applyFont="1">
      <alignment vertical="center"/>
    </xf>
    <xf numFmtId="0" fontId="38" fillId="0" borderId="0" xfId="8" applyFont="1">
      <alignment vertical="center"/>
    </xf>
    <xf numFmtId="0" fontId="38" fillId="0" borderId="0" xfId="9" applyFont="1">
      <alignment vertical="center"/>
    </xf>
    <xf numFmtId="0" fontId="26" fillId="3" borderId="20" xfId="8" applyFont="1" applyFill="1" applyBorder="1" applyAlignment="1">
      <alignment horizontal="center" vertical="center"/>
    </xf>
    <xf numFmtId="178" fontId="25" fillId="0" borderId="22" xfId="1" applyNumberFormat="1" applyFont="1" applyFill="1" applyBorder="1" applyAlignment="1">
      <alignment horizontal="center" vertical="center"/>
    </xf>
    <xf numFmtId="178" fontId="25" fillId="0" borderId="23" xfId="1" applyNumberFormat="1" applyFont="1" applyFill="1" applyBorder="1" applyAlignment="1">
      <alignment horizontal="center" vertical="center"/>
    </xf>
    <xf numFmtId="178" fontId="25" fillId="4" borderId="13" xfId="1" applyNumberFormat="1" applyFont="1" applyFill="1" applyBorder="1" applyAlignment="1">
      <alignment horizontal="center" vertical="center"/>
    </xf>
    <xf numFmtId="178" fontId="25" fillId="0" borderId="10" xfId="1" applyNumberFormat="1" applyFont="1" applyFill="1" applyBorder="1" applyAlignment="1">
      <alignment horizontal="center" vertical="center"/>
    </xf>
    <xf numFmtId="0" fontId="20" fillId="0" borderId="12" xfId="11" applyFont="1" applyBorder="1" applyAlignment="1">
      <alignment horizontal="center" vertical="center" wrapText="1" shrinkToFit="1"/>
    </xf>
    <xf numFmtId="0" fontId="20" fillId="0" borderId="24" xfId="0" applyFont="1" applyBorder="1" applyAlignment="1">
      <alignment horizontal="center" vertical="center"/>
    </xf>
    <xf numFmtId="180" fontId="20" fillId="0" borderId="25" xfId="11" applyNumberFormat="1" applyFont="1" applyBorder="1" applyAlignment="1">
      <alignment horizontal="center" vertical="center" shrinkToFit="1"/>
    </xf>
    <xf numFmtId="0" fontId="20" fillId="0" borderId="14" xfId="11" applyFont="1" applyBorder="1" applyAlignment="1">
      <alignment horizontal="center" vertical="center" wrapText="1" shrinkToFit="1"/>
    </xf>
    <xf numFmtId="181" fontId="16" fillId="0" borderId="25" xfId="11" applyNumberFormat="1" applyFont="1" applyBorder="1" applyAlignment="1">
      <alignment horizontal="center" vertical="center"/>
    </xf>
    <xf numFmtId="182" fontId="16" fillId="0" borderId="25" xfId="11" applyNumberFormat="1" applyFont="1" applyBorder="1" applyAlignment="1">
      <alignment horizontal="center" vertical="center"/>
    </xf>
    <xf numFmtId="183" fontId="16" fillId="0" borderId="25" xfId="11" applyNumberFormat="1" applyFont="1" applyBorder="1" applyAlignment="1">
      <alignment horizontal="center" vertical="center" shrinkToFit="1"/>
    </xf>
    <xf numFmtId="178" fontId="25" fillId="0" borderId="25" xfId="1" applyNumberFormat="1" applyFont="1" applyFill="1" applyBorder="1" applyAlignment="1">
      <alignment horizontal="center" vertical="center"/>
    </xf>
    <xf numFmtId="0" fontId="38" fillId="0" borderId="0" xfId="8" applyFont="1">
      <alignment vertical="center"/>
    </xf>
    <xf numFmtId="0" fontId="38" fillId="0" borderId="0" xfId="8" applyFont="1" applyAlignment="1">
      <alignment horizontal="left" vertical="center"/>
    </xf>
    <xf numFmtId="0" fontId="25" fillId="0" borderId="4" xfId="8" applyFont="1" applyBorder="1" applyAlignment="1">
      <alignment horizontal="center" vertical="center"/>
    </xf>
    <xf numFmtId="0" fontId="25" fillId="0" borderId="3" xfId="8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 wrapText="1"/>
    </xf>
    <xf numFmtId="0" fontId="17" fillId="0" borderId="4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 wrapText="1"/>
    </xf>
    <xf numFmtId="177" fontId="12" fillId="0" borderId="4" xfId="8" applyNumberFormat="1" applyFont="1" applyBorder="1" applyAlignment="1">
      <alignment horizontal="center" vertical="center"/>
    </xf>
    <xf numFmtId="177" fontId="12" fillId="0" borderId="3" xfId="8" applyNumberFormat="1" applyFont="1" applyBorder="1" applyAlignment="1">
      <alignment horizontal="center" vertical="center"/>
    </xf>
    <xf numFmtId="0" fontId="17" fillId="0" borderId="4" xfId="8" applyFont="1" applyBorder="1" applyAlignment="1">
      <alignment horizontal="center" vertical="center"/>
    </xf>
    <xf numFmtId="0" fontId="17" fillId="0" borderId="3" xfId="8" applyFont="1" applyBorder="1" applyAlignment="1">
      <alignment horizontal="center" vertical="center"/>
    </xf>
    <xf numFmtId="0" fontId="25" fillId="0" borderId="3" xfId="8" applyFont="1" applyBorder="1" applyAlignment="1">
      <alignment horizontal="center" vertical="center" wrapText="1"/>
    </xf>
    <xf numFmtId="176" fontId="17" fillId="0" borderId="4" xfId="8" applyNumberFormat="1" applyFont="1" applyBorder="1" applyAlignment="1">
      <alignment horizontal="center" vertical="center"/>
    </xf>
    <xf numFmtId="176" fontId="17" fillId="0" borderId="3" xfId="8" applyNumberFormat="1" applyFont="1" applyBorder="1" applyAlignment="1">
      <alignment horizontal="center" vertical="center"/>
    </xf>
    <xf numFmtId="0" fontId="17" fillId="0" borderId="5" xfId="8" applyFont="1" applyBorder="1" applyAlignment="1">
      <alignment horizontal="center" vertical="center"/>
    </xf>
    <xf numFmtId="0" fontId="24" fillId="0" borderId="0" xfId="8" applyFont="1" applyAlignment="1">
      <alignment horizontal="left"/>
    </xf>
    <xf numFmtId="14" fontId="24" fillId="0" borderId="0" xfId="8" applyNumberFormat="1" applyFont="1" applyAlignment="1">
      <alignment horizontal="left"/>
    </xf>
    <xf numFmtId="0" fontId="18" fillId="3" borderId="18" xfId="11" applyFont="1" applyFill="1" applyBorder="1" applyAlignment="1">
      <alignment horizontal="center" vertical="center" shrinkToFit="1"/>
    </xf>
    <xf numFmtId="0" fontId="18" fillId="3" borderId="19" xfId="11" applyFont="1" applyFill="1" applyBorder="1" applyAlignment="1">
      <alignment horizontal="center" vertical="center" shrinkToFit="1"/>
    </xf>
    <xf numFmtId="0" fontId="18" fillId="3" borderId="20" xfId="11" applyFont="1" applyFill="1" applyBorder="1" applyAlignment="1">
      <alignment horizontal="center" vertical="center" shrinkToFit="1"/>
    </xf>
    <xf numFmtId="0" fontId="39" fillId="0" borderId="0" xfId="8" applyFont="1" applyAlignment="1">
      <alignment horizontal="left" vertical="center" wrapText="1" indent="1"/>
    </xf>
    <xf numFmtId="0" fontId="39" fillId="0" borderId="0" xfId="8" applyFont="1" applyAlignment="1">
      <alignment horizontal="left" vertical="center" indent="1"/>
    </xf>
  </cellXfs>
  <cellStyles count="13">
    <cellStyle name="쉼표 [0] 2" xfId="1" xr:uid="{00000000-0005-0000-0000-000000000000}"/>
    <cellStyle name="표준" xfId="0" builtinId="0"/>
    <cellStyle name="표준 10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2 4" xfId="6" xr:uid="{00000000-0005-0000-0000-000006000000}"/>
    <cellStyle name="표준 3" xfId="7" xr:uid="{00000000-0005-0000-0000-000007000000}"/>
    <cellStyle name="표준 3 10" xfId="8" xr:uid="{00000000-0005-0000-0000-000008000000}"/>
    <cellStyle name="표준 3 10 2" xfId="9" xr:uid="{00000000-0005-0000-0000-000009000000}"/>
    <cellStyle name="표준 4" xfId="10" xr:uid="{00000000-0005-0000-0000-00000A000000}"/>
    <cellStyle name="표준 5" xfId="11" xr:uid="{00000000-0005-0000-0000-00000B000000}"/>
    <cellStyle name="표준 7" xfId="12" xr:uid="{00000000-0005-0000-0000-00000C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21</xdr:row>
      <xdr:rowOff>66674</xdr:rowOff>
    </xdr:from>
    <xdr:to>
      <xdr:col>7</xdr:col>
      <xdr:colOff>1000125</xdr:colOff>
      <xdr:row>24</xdr:row>
      <xdr:rowOff>238124</xdr:rowOff>
    </xdr:to>
    <xdr:grpSp>
      <xdr:nvGrpSpPr>
        <xdr:cNvPr id="1152" name="그룹 14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GrpSpPr>
          <a:grpSpLocks/>
        </xdr:cNvGrpSpPr>
      </xdr:nvGrpSpPr>
      <xdr:grpSpPr bwMode="auto">
        <a:xfrm>
          <a:off x="390525" y="6905624"/>
          <a:ext cx="6581775" cy="1114425"/>
          <a:chOff x="619125" y="4010025"/>
          <a:chExt cx="5610225" cy="2221923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619125" y="4010025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619125" y="6231948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V="1">
            <a:off x="619125" y="4010025"/>
            <a:ext cx="5602324" cy="2212964"/>
          </a:xfrm>
          <a:prstGeom prst="straightConnector1">
            <a:avLst/>
          </a:prstGeom>
          <a:ln w="19050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317996" y="4879084"/>
            <a:ext cx="1912218" cy="456928"/>
          </a:xfrm>
          <a:prstGeom prst="rect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800" b="1"/>
              <a:t>B  L  A  N  K</a:t>
            </a:r>
            <a:endParaRPr lang="ko-KR" altLang="en-US" sz="18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8"/>
  <sheetViews>
    <sheetView topLeftCell="B1" workbookViewId="0">
      <selection activeCell="L8" sqref="L8"/>
    </sheetView>
  </sheetViews>
  <sheetFormatPr defaultRowHeight="13.5" customHeight="1" x14ac:dyDescent="0.3"/>
  <cols>
    <col min="1" max="1" width="1.875" style="1" customWidth="1"/>
    <col min="2" max="2" width="5.375" style="1" customWidth="1"/>
    <col min="3" max="3" width="16.25" style="1" bestFit="1" customWidth="1"/>
    <col min="4" max="4" width="12.875" style="1" customWidth="1"/>
    <col min="5" max="8" width="14" style="1" customWidth="1"/>
    <col min="9" max="16384" width="9" style="1"/>
  </cols>
  <sheetData>
    <row r="1" spans="2:8" ht="35.25" x14ac:dyDescent="0.3">
      <c r="B1" s="70" t="s">
        <v>4</v>
      </c>
      <c r="C1" s="71"/>
      <c r="D1" s="71"/>
      <c r="E1" s="71"/>
      <c r="F1" s="71"/>
      <c r="G1" s="71"/>
      <c r="H1" s="71"/>
    </row>
    <row r="2" spans="2:8" ht="27" x14ac:dyDescent="0.3">
      <c r="B2" s="72"/>
      <c r="C2" s="73"/>
      <c r="D2" s="73"/>
      <c r="E2" s="73"/>
      <c r="F2" s="73"/>
      <c r="G2" s="73"/>
      <c r="H2" s="73"/>
    </row>
    <row r="3" spans="2:8" x14ac:dyDescent="0.3">
      <c r="B3" s="74"/>
      <c r="C3" s="74"/>
      <c r="D3" s="74"/>
      <c r="E3" s="74"/>
      <c r="F3" s="75"/>
      <c r="G3" s="76"/>
      <c r="H3" s="76"/>
    </row>
    <row r="4" spans="2:8" ht="39.950000000000003" customHeight="1" x14ac:dyDescent="0.3">
      <c r="B4" s="77" t="s">
        <v>32</v>
      </c>
      <c r="C4" s="78"/>
      <c r="D4" s="78"/>
      <c r="E4" s="78"/>
      <c r="F4" s="79"/>
      <c r="G4" s="79"/>
      <c r="H4" s="79"/>
    </row>
    <row r="5" spans="2:8" ht="21" customHeight="1" x14ac:dyDescent="0.3">
      <c r="B5" s="95" t="s">
        <v>36</v>
      </c>
      <c r="C5" s="95"/>
      <c r="D5" s="95"/>
      <c r="E5" s="95"/>
      <c r="F5" s="80" t="s">
        <v>33</v>
      </c>
      <c r="G5" s="80"/>
      <c r="H5" s="80"/>
    </row>
    <row r="6" spans="2:8" ht="24.75" customHeight="1" x14ac:dyDescent="0.3">
      <c r="B6" s="95" t="s">
        <v>3</v>
      </c>
      <c r="C6" s="95"/>
      <c r="D6" s="95"/>
      <c r="E6" s="95"/>
      <c r="F6" s="80" t="s">
        <v>29</v>
      </c>
      <c r="G6" s="80"/>
      <c r="H6" s="80"/>
    </row>
    <row r="7" spans="2:8" ht="24.75" customHeight="1" x14ac:dyDescent="0.3">
      <c r="B7" s="95" t="s">
        <v>54</v>
      </c>
      <c r="C7" s="95"/>
      <c r="D7" s="95"/>
      <c r="E7" s="95"/>
      <c r="F7" s="96" t="s">
        <v>30</v>
      </c>
      <c r="G7" s="96"/>
      <c r="H7" s="96"/>
    </row>
    <row r="8" spans="2:8" ht="24.75" customHeight="1" x14ac:dyDescent="0.3">
      <c r="B8" s="81" t="s">
        <v>28</v>
      </c>
      <c r="C8" s="80"/>
      <c r="D8" s="80"/>
      <c r="E8" s="80"/>
      <c r="F8" s="80" t="s">
        <v>31</v>
      </c>
      <c r="G8" s="80"/>
      <c r="H8" s="80"/>
    </row>
    <row r="9" spans="2:8" ht="24.75" customHeight="1" x14ac:dyDescent="0.3">
      <c r="B9" s="80" t="s">
        <v>2</v>
      </c>
      <c r="C9" s="80"/>
      <c r="D9" s="80"/>
      <c r="E9" s="80"/>
      <c r="F9" s="80" t="s">
        <v>40</v>
      </c>
      <c r="G9" s="80"/>
      <c r="H9" s="80"/>
    </row>
    <row r="10" spans="2:8" ht="24.75" customHeight="1" x14ac:dyDescent="0.3">
      <c r="B10" s="3"/>
      <c r="C10" s="3"/>
      <c r="D10" s="3"/>
      <c r="E10" s="3"/>
      <c r="F10" s="2"/>
      <c r="G10" s="3"/>
      <c r="H10" s="3"/>
    </row>
    <row r="11" spans="2:8" ht="24.75" customHeight="1" x14ac:dyDescent="0.3">
      <c r="B11" s="3"/>
      <c r="C11" s="3"/>
      <c r="D11" s="3"/>
      <c r="E11" s="3"/>
      <c r="F11" s="2"/>
      <c r="G11" s="3"/>
      <c r="H11" s="3"/>
    </row>
    <row r="12" spans="2:8" ht="24.75" customHeight="1" x14ac:dyDescent="0.3">
      <c r="B12" s="3"/>
      <c r="C12" s="3"/>
      <c r="D12" s="3"/>
      <c r="E12" s="3"/>
      <c r="F12" s="2"/>
      <c r="G12" s="3"/>
      <c r="H12" s="3"/>
    </row>
    <row r="13" spans="2:8" ht="24.75" customHeight="1" x14ac:dyDescent="0.3">
      <c r="B13" s="3"/>
      <c r="C13" s="3"/>
      <c r="D13" s="3"/>
      <c r="E13" s="3"/>
      <c r="F13" s="2"/>
      <c r="G13" s="3"/>
      <c r="H13" s="3"/>
    </row>
    <row r="14" spans="2:8" ht="24.75" customHeight="1" x14ac:dyDescent="0.3">
      <c r="B14" s="3"/>
      <c r="C14" s="3"/>
      <c r="D14" s="3"/>
      <c r="E14" s="3"/>
      <c r="F14" s="2"/>
      <c r="G14" s="3"/>
      <c r="H14" s="3"/>
    </row>
    <row r="15" spans="2:8" ht="30.75" customHeight="1" x14ac:dyDescent="0.3">
      <c r="B15" s="28" t="s">
        <v>1</v>
      </c>
      <c r="C15" s="104" t="s">
        <v>34</v>
      </c>
      <c r="D15" s="104"/>
      <c r="E15" s="104" t="s">
        <v>35</v>
      </c>
      <c r="F15" s="105"/>
      <c r="G15" s="100" t="s">
        <v>15</v>
      </c>
      <c r="H15" s="101"/>
    </row>
    <row r="16" spans="2:8" ht="24.75" customHeight="1" x14ac:dyDescent="0.3">
      <c r="B16" s="29">
        <v>1</v>
      </c>
      <c r="C16" s="97" t="str">
        <f>기계!$B7</f>
        <v>고정링 1</v>
      </c>
      <c r="D16" s="98"/>
      <c r="E16" s="99" t="str">
        <f>기계!$C7</f>
        <v>고정링 1</v>
      </c>
      <c r="F16" s="98"/>
      <c r="G16" s="102">
        <f>기계!$V7</f>
        <v>325000</v>
      </c>
      <c r="H16" s="103"/>
    </row>
    <row r="17" spans="2:8" ht="24.75" customHeight="1" x14ac:dyDescent="0.3">
      <c r="B17" s="29">
        <v>2</v>
      </c>
      <c r="C17" s="97" t="str">
        <f>기계!$B8</f>
        <v>고정링 2</v>
      </c>
      <c r="D17" s="98"/>
      <c r="E17" s="99" t="str">
        <f>기계!$C8</f>
        <v>고정링 2</v>
      </c>
      <c r="F17" s="106"/>
      <c r="G17" s="102">
        <f>기계!$V8</f>
        <v>325000</v>
      </c>
      <c r="H17" s="103"/>
    </row>
    <row r="18" spans="2:8" ht="24.75" customHeight="1" x14ac:dyDescent="0.3">
      <c r="B18" s="29">
        <v>3</v>
      </c>
      <c r="C18" s="97" t="str">
        <f>기계!$B9</f>
        <v>후방마개</v>
      </c>
      <c r="D18" s="98"/>
      <c r="E18" s="99" t="str">
        <f>기계!$C9</f>
        <v>후방마개</v>
      </c>
      <c r="F18" s="106"/>
      <c r="G18" s="102">
        <f>기계!$V9</f>
        <v>66000</v>
      </c>
      <c r="H18" s="103"/>
    </row>
    <row r="19" spans="2:8" ht="24.75" customHeight="1" x14ac:dyDescent="0.3">
      <c r="B19" s="29">
        <v>4</v>
      </c>
      <c r="C19" s="97" t="str">
        <f>기계!$B10</f>
        <v>후방덮개</v>
      </c>
      <c r="D19" s="98"/>
      <c r="E19" s="99" t="str">
        <f>기계!$C10</f>
        <v>후방덮개</v>
      </c>
      <c r="F19" s="106"/>
      <c r="G19" s="102">
        <f>기계!$V10</f>
        <v>66000</v>
      </c>
      <c r="H19" s="103"/>
    </row>
    <row r="20" spans="2:8" ht="24.75" customHeight="1" x14ac:dyDescent="0.3">
      <c r="B20" s="29">
        <v>5</v>
      </c>
      <c r="C20" s="97" t="str">
        <f>기계!$B11</f>
        <v>내부 라이너</v>
      </c>
      <c r="D20" s="98"/>
      <c r="E20" s="99" t="str">
        <f>기계!$C11</f>
        <v>내부 라이너</v>
      </c>
      <c r="F20" s="106"/>
      <c r="G20" s="102">
        <f>기계!$V11</f>
        <v>303000</v>
      </c>
      <c r="H20" s="103"/>
    </row>
    <row r="21" spans="2:8" ht="24.75" customHeight="1" x14ac:dyDescent="0.3">
      <c r="B21" s="29">
        <v>6</v>
      </c>
      <c r="C21" s="97" t="str">
        <f>기계!$B12</f>
        <v>전방캡고정링</v>
      </c>
      <c r="D21" s="98"/>
      <c r="E21" s="99" t="str">
        <f>기계!$C12</f>
        <v>전방캡고정링</v>
      </c>
      <c r="F21" s="106"/>
      <c r="G21" s="102">
        <f>기계!$V12</f>
        <v>83000</v>
      </c>
      <c r="H21" s="103"/>
    </row>
    <row r="22" spans="2:8" ht="24.75" customHeight="1" x14ac:dyDescent="0.3">
      <c r="B22" s="29">
        <v>7</v>
      </c>
      <c r="C22" s="97"/>
      <c r="D22" s="98"/>
      <c r="E22" s="99"/>
      <c r="F22" s="98"/>
      <c r="G22" s="102"/>
      <c r="H22" s="103"/>
    </row>
    <row r="23" spans="2:8" ht="24.75" customHeight="1" x14ac:dyDescent="0.3">
      <c r="B23" s="29">
        <v>8</v>
      </c>
      <c r="C23" s="97"/>
      <c r="D23" s="98"/>
      <c r="E23" s="99"/>
      <c r="F23" s="98"/>
      <c r="G23" s="102"/>
      <c r="H23" s="103"/>
    </row>
    <row r="24" spans="2:8" ht="24.75" customHeight="1" x14ac:dyDescent="0.3">
      <c r="B24" s="29">
        <v>9</v>
      </c>
      <c r="C24" s="97"/>
      <c r="D24" s="98"/>
      <c r="E24" s="99"/>
      <c r="F24" s="98"/>
      <c r="G24" s="102"/>
      <c r="H24" s="103"/>
    </row>
    <row r="25" spans="2:8" ht="24.75" customHeight="1" x14ac:dyDescent="0.3">
      <c r="B25" s="29">
        <v>10</v>
      </c>
      <c r="C25" s="97"/>
      <c r="D25" s="98"/>
      <c r="E25" s="99"/>
      <c r="F25" s="98"/>
      <c r="G25" s="102"/>
      <c r="H25" s="103"/>
    </row>
    <row r="26" spans="2:8" ht="24.75" customHeight="1" x14ac:dyDescent="0.3">
      <c r="B26" s="104" t="s">
        <v>0</v>
      </c>
      <c r="C26" s="109"/>
      <c r="D26" s="109"/>
      <c r="E26" s="107"/>
      <c r="F26" s="108"/>
      <c r="G26" s="107">
        <f>SUM(G16:G25)</f>
        <v>1168000</v>
      </c>
      <c r="H26" s="108"/>
    </row>
    <row r="27" spans="2:8" ht="10.5" customHeight="1" x14ac:dyDescent="0.3">
      <c r="B27" s="4"/>
      <c r="C27" s="4"/>
      <c r="D27" s="4"/>
      <c r="E27" s="4"/>
      <c r="F27" s="4"/>
      <c r="G27" s="4"/>
      <c r="H27" s="4"/>
    </row>
    <row r="28" spans="2:8" x14ac:dyDescent="0.3">
      <c r="B28" s="3"/>
      <c r="C28" s="2"/>
      <c r="D28" s="2"/>
      <c r="E28" s="2"/>
      <c r="F28" s="2"/>
      <c r="G28" s="2"/>
      <c r="H28" s="2"/>
    </row>
    <row r="29" spans="2:8" x14ac:dyDescent="0.3">
      <c r="B29" s="2"/>
      <c r="C29" s="2"/>
      <c r="D29" s="2"/>
      <c r="E29" s="2"/>
      <c r="F29" s="2"/>
      <c r="G29" s="2"/>
      <c r="H29" s="2"/>
    </row>
    <row r="30" spans="2:8" x14ac:dyDescent="0.3">
      <c r="B30" s="2"/>
      <c r="C30" s="2"/>
      <c r="D30" s="2"/>
      <c r="E30" s="2"/>
      <c r="F30" s="2"/>
      <c r="G30" s="2"/>
      <c r="H30" s="2"/>
    </row>
    <row r="31" spans="2:8" x14ac:dyDescent="0.3">
      <c r="B31" s="2"/>
      <c r="C31" s="2"/>
      <c r="D31" s="2"/>
      <c r="E31" s="2"/>
      <c r="F31" s="2"/>
      <c r="G31" s="2"/>
      <c r="H31" s="2"/>
    </row>
    <row r="32" spans="2:8" x14ac:dyDescent="0.3">
      <c r="B32" s="2"/>
      <c r="C32" s="2"/>
      <c r="D32" s="2"/>
      <c r="E32" s="2"/>
      <c r="F32" s="2"/>
      <c r="G32" s="2"/>
      <c r="H32" s="2"/>
    </row>
    <row r="33" spans="2:8" x14ac:dyDescent="0.3">
      <c r="B33" s="2"/>
      <c r="C33" s="2"/>
      <c r="D33" s="2"/>
      <c r="E33" s="2"/>
      <c r="F33" s="2"/>
      <c r="G33" s="2"/>
      <c r="H33" s="2"/>
    </row>
    <row r="34" spans="2:8" x14ac:dyDescent="0.3"/>
    <row r="35" spans="2:8" x14ac:dyDescent="0.3"/>
    <row r="36" spans="2:8" x14ac:dyDescent="0.3"/>
    <row r="37" spans="2:8" x14ac:dyDescent="0.3"/>
    <row r="38" spans="2:8" x14ac:dyDescent="0.3"/>
  </sheetData>
  <mergeCells count="40">
    <mergeCell ref="G25:H25"/>
    <mergeCell ref="G17:H17"/>
    <mergeCell ref="G18:H18"/>
    <mergeCell ref="G19:H19"/>
    <mergeCell ref="G20:H20"/>
    <mergeCell ref="G21:H21"/>
    <mergeCell ref="G26:H26"/>
    <mergeCell ref="C21:D21"/>
    <mergeCell ref="C25:D25"/>
    <mergeCell ref="E25:F25"/>
    <mergeCell ref="C23:D23"/>
    <mergeCell ref="E23:F23"/>
    <mergeCell ref="C24:D24"/>
    <mergeCell ref="E24:F24"/>
    <mergeCell ref="B26:D26"/>
    <mergeCell ref="E26:F26"/>
    <mergeCell ref="E21:F21"/>
    <mergeCell ref="C22:D22"/>
    <mergeCell ref="E22:F22"/>
    <mergeCell ref="G22:H22"/>
    <mergeCell ref="G23:H23"/>
    <mergeCell ref="G24:H24"/>
    <mergeCell ref="C17:D17"/>
    <mergeCell ref="E17:F17"/>
    <mergeCell ref="C18:D18"/>
    <mergeCell ref="C20:D20"/>
    <mergeCell ref="E20:F20"/>
    <mergeCell ref="C19:D19"/>
    <mergeCell ref="E19:F19"/>
    <mergeCell ref="E18:F18"/>
    <mergeCell ref="B5:E5"/>
    <mergeCell ref="B6:E6"/>
    <mergeCell ref="B7:E7"/>
    <mergeCell ref="F7:H7"/>
    <mergeCell ref="C16:D16"/>
    <mergeCell ref="E16:F16"/>
    <mergeCell ref="G15:H15"/>
    <mergeCell ref="G16:H16"/>
    <mergeCell ref="E15:F15"/>
    <mergeCell ref="C15:D15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8"/>
  <sheetViews>
    <sheetView tabSelected="1" zoomScale="85" zoomScaleNormal="85" workbookViewId="0">
      <selection activeCell="C17" sqref="C17:K18"/>
    </sheetView>
  </sheetViews>
  <sheetFormatPr defaultRowHeight="12" x14ac:dyDescent="0.3"/>
  <cols>
    <col min="1" max="1" width="6.25" style="6" customWidth="1"/>
    <col min="2" max="2" width="14.375" style="6" bestFit="1" customWidth="1"/>
    <col min="3" max="3" width="32" style="6" customWidth="1"/>
    <col min="4" max="4" width="25.375" style="6" bestFit="1" customWidth="1"/>
    <col min="5" max="5" width="23.75" style="6" bestFit="1" customWidth="1"/>
    <col min="6" max="6" width="4.5" style="6" customWidth="1"/>
    <col min="7" max="7" width="15.875" style="6" bestFit="1" customWidth="1"/>
    <col min="8" max="8" width="7.75" style="31" bestFit="1" customWidth="1"/>
    <col min="9" max="9" width="9.125" style="35" bestFit="1" customWidth="1"/>
    <col min="10" max="10" width="8.75" style="39" bestFit="1" customWidth="1"/>
    <col min="11" max="17" width="7.75" style="6" customWidth="1"/>
    <col min="18" max="18" width="11.125" style="6" customWidth="1"/>
    <col min="19" max="19" width="13.125" style="6" customWidth="1"/>
    <col min="20" max="20" width="6.25" style="6" customWidth="1"/>
    <col min="21" max="22" width="12" style="6" bestFit="1" customWidth="1"/>
    <col min="23" max="16384" width="9" style="6"/>
  </cols>
  <sheetData>
    <row r="1" spans="1:22" ht="17.25" x14ac:dyDescent="0.3">
      <c r="A1" s="5" t="s">
        <v>21</v>
      </c>
      <c r="K1" s="7"/>
      <c r="L1" s="7"/>
      <c r="M1" s="7"/>
      <c r="N1" s="7"/>
      <c r="O1" s="7"/>
      <c r="P1" s="7"/>
      <c r="Q1" s="7"/>
      <c r="R1" s="7"/>
      <c r="S1" s="7"/>
    </row>
    <row r="2" spans="1:22" ht="17.25" x14ac:dyDescent="0.3">
      <c r="A2" s="8" t="s">
        <v>22</v>
      </c>
    </row>
    <row r="3" spans="1:22" ht="13.5" customHeight="1" x14ac:dyDescent="0.3">
      <c r="A3" s="8"/>
    </row>
    <row r="4" spans="1:22" ht="16.5" x14ac:dyDescent="0.3">
      <c r="A4" s="9"/>
      <c r="B4" s="9"/>
      <c r="C4" s="9"/>
      <c r="D4" s="9"/>
      <c r="E4" s="9"/>
      <c r="F4" s="9"/>
      <c r="G4" s="9"/>
      <c r="H4" s="32"/>
      <c r="I4" s="36"/>
      <c r="J4" s="40"/>
    </row>
    <row r="5" spans="1:22" ht="13.5" customHeight="1" thickBot="1" x14ac:dyDescent="0.25">
      <c r="A5" s="10"/>
      <c r="B5" s="11"/>
      <c r="C5" s="11"/>
      <c r="D5" s="11"/>
      <c r="E5" s="12"/>
      <c r="F5" s="12"/>
      <c r="G5" s="12"/>
      <c r="H5" s="33"/>
      <c r="I5" s="37"/>
      <c r="J5" s="41"/>
      <c r="K5" s="69">
        <v>70000</v>
      </c>
      <c r="L5" s="69">
        <v>50000</v>
      </c>
      <c r="M5" s="69">
        <v>40000</v>
      </c>
      <c r="N5" s="69">
        <v>35000</v>
      </c>
      <c r="O5" s="69">
        <v>20000</v>
      </c>
      <c r="P5" s="69">
        <v>15600</v>
      </c>
      <c r="Q5" s="69">
        <v>30000</v>
      </c>
      <c r="R5" s="69">
        <v>35000</v>
      </c>
      <c r="S5" s="69">
        <v>35000</v>
      </c>
    </row>
    <row r="6" spans="1:22" s="20" customFormat="1" ht="24.75" customHeight="1" x14ac:dyDescent="0.3">
      <c r="A6" s="62" t="s">
        <v>14</v>
      </c>
      <c r="B6" s="63" t="s">
        <v>25</v>
      </c>
      <c r="C6" s="64" t="s">
        <v>26</v>
      </c>
      <c r="D6" s="64" t="s">
        <v>23</v>
      </c>
      <c r="E6" s="65" t="s">
        <v>27</v>
      </c>
      <c r="F6" s="65" t="s">
        <v>16</v>
      </c>
      <c r="G6" s="63" t="s">
        <v>17</v>
      </c>
      <c r="H6" s="112" t="s">
        <v>24</v>
      </c>
      <c r="I6" s="113"/>
      <c r="J6" s="114"/>
      <c r="K6" s="66" t="s">
        <v>13</v>
      </c>
      <c r="L6" s="66" t="s">
        <v>39</v>
      </c>
      <c r="M6" s="66" t="s">
        <v>12</v>
      </c>
      <c r="N6" s="66" t="s">
        <v>11</v>
      </c>
      <c r="O6" s="66" t="s">
        <v>10</v>
      </c>
      <c r="P6" s="66" t="s">
        <v>9</v>
      </c>
      <c r="Q6" s="66" t="s">
        <v>8</v>
      </c>
      <c r="R6" s="66" t="s">
        <v>7</v>
      </c>
      <c r="S6" s="67" t="s">
        <v>6</v>
      </c>
      <c r="T6" s="68" t="s">
        <v>5</v>
      </c>
      <c r="U6" s="82" t="s">
        <v>38</v>
      </c>
      <c r="V6" s="68" t="s">
        <v>18</v>
      </c>
    </row>
    <row r="7" spans="1:22" s="19" customFormat="1" ht="30" customHeight="1" x14ac:dyDescent="0.3">
      <c r="A7" s="24">
        <f>ROW()-6</f>
        <v>1</v>
      </c>
      <c r="B7" s="25" t="s">
        <v>41</v>
      </c>
      <c r="C7" s="25" t="s">
        <v>41</v>
      </c>
      <c r="D7" s="87" t="s">
        <v>43</v>
      </c>
      <c r="E7" s="30" t="s">
        <v>45</v>
      </c>
      <c r="F7" s="26">
        <v>1</v>
      </c>
      <c r="G7" s="57" t="s">
        <v>44</v>
      </c>
      <c r="H7" s="58">
        <v>180</v>
      </c>
      <c r="I7" s="59"/>
      <c r="J7" s="60">
        <v>60</v>
      </c>
      <c r="K7" s="27">
        <v>3.5</v>
      </c>
      <c r="L7" s="27"/>
      <c r="M7" s="27">
        <v>0</v>
      </c>
      <c r="N7" s="27"/>
      <c r="O7" s="27"/>
      <c r="P7" s="27">
        <v>1</v>
      </c>
      <c r="Q7" s="27">
        <v>1</v>
      </c>
      <c r="R7" s="27"/>
      <c r="S7" s="27">
        <v>1</v>
      </c>
      <c r="T7" s="85">
        <f>SUM($K7:$S7)</f>
        <v>6.5</v>
      </c>
      <c r="U7" s="83">
        <f>(K7*$K$5+L7*$L$5+M7*$M$5+N7*$N$5+O7*$O$5+P7*$P$5+Q7*$Q$5+S7*$S$5+R7*$R$5)*$F7</f>
        <v>325600</v>
      </c>
      <c r="V7" s="61">
        <f>ROUNDDOWN($U7,-3)</f>
        <v>325000</v>
      </c>
    </row>
    <row r="8" spans="1:22" s="19" customFormat="1" ht="30" customHeight="1" x14ac:dyDescent="0.3">
      <c r="A8" s="21">
        <f t="shared" ref="A8" si="0">ROW()-6</f>
        <v>2</v>
      </c>
      <c r="B8" s="22" t="s">
        <v>42</v>
      </c>
      <c r="C8" s="22" t="s">
        <v>42</v>
      </c>
      <c r="D8" s="87" t="s">
        <v>43</v>
      </c>
      <c r="E8" s="30" t="s">
        <v>52</v>
      </c>
      <c r="F8" s="26">
        <v>1</v>
      </c>
      <c r="G8" s="57" t="s">
        <v>44</v>
      </c>
      <c r="H8" s="47">
        <v>60</v>
      </c>
      <c r="I8" s="48">
        <v>95</v>
      </c>
      <c r="J8" s="49">
        <v>160</v>
      </c>
      <c r="K8" s="23">
        <v>3.5</v>
      </c>
      <c r="L8" s="23"/>
      <c r="M8" s="23">
        <v>0</v>
      </c>
      <c r="N8" s="23"/>
      <c r="O8" s="23"/>
      <c r="P8" s="23">
        <v>1</v>
      </c>
      <c r="Q8" s="23">
        <v>1</v>
      </c>
      <c r="R8" s="23"/>
      <c r="S8" s="23">
        <v>1</v>
      </c>
      <c r="T8" s="85">
        <f t="shared" ref="T8:T12" si="1">SUM($K8:$S8)</f>
        <v>6.5</v>
      </c>
      <c r="U8" s="83">
        <f t="shared" ref="U8" si="2">(K8*$K$5+L8*$L$5+M8*$M$5+N8*$N$5+O8*$O$5+P8*$P$5+Q8*$Q$5+S8*$S$5+R8*$R$5)*$F8</f>
        <v>325600</v>
      </c>
      <c r="V8" s="61">
        <f t="shared" ref="V8:V12" si="3">ROUNDDOWN($U8,-3)</f>
        <v>325000</v>
      </c>
    </row>
    <row r="9" spans="1:22" s="19" customFormat="1" ht="30" customHeight="1" x14ac:dyDescent="0.3">
      <c r="A9" s="88">
        <v>3</v>
      </c>
      <c r="B9" s="89" t="s">
        <v>46</v>
      </c>
      <c r="C9" s="89" t="s">
        <v>46</v>
      </c>
      <c r="D9" s="90"/>
      <c r="E9" s="30" t="s">
        <v>51</v>
      </c>
      <c r="F9" s="30">
        <v>1</v>
      </c>
      <c r="G9" s="57" t="s">
        <v>44</v>
      </c>
      <c r="H9" s="91">
        <v>76.2</v>
      </c>
      <c r="I9" s="92"/>
      <c r="J9" s="93">
        <v>50</v>
      </c>
      <c r="K9" s="94"/>
      <c r="L9" s="94"/>
      <c r="M9" s="94"/>
      <c r="N9" s="94">
        <v>1</v>
      </c>
      <c r="O9" s="94"/>
      <c r="P9" s="94">
        <v>0.3</v>
      </c>
      <c r="Q9" s="94">
        <v>0.3</v>
      </c>
      <c r="R9" s="94"/>
      <c r="S9" s="94">
        <v>0.5</v>
      </c>
      <c r="T9" s="85">
        <f t="shared" si="1"/>
        <v>2.1</v>
      </c>
      <c r="U9" s="83">
        <f t="shared" ref="U9:U12" si="4">(K9*$K$5+L9*$L$5+M9*$M$5+N9*$N$5+O9*$O$5+P9*$P$5+Q9*$Q$5+S9*$S$5+R9*$R$5)*$F9</f>
        <v>66180</v>
      </c>
      <c r="V9" s="61">
        <f t="shared" si="3"/>
        <v>66000</v>
      </c>
    </row>
    <row r="10" spans="1:22" s="19" customFormat="1" ht="30" customHeight="1" x14ac:dyDescent="0.3">
      <c r="A10" s="88">
        <v>4</v>
      </c>
      <c r="B10" s="89" t="s">
        <v>47</v>
      </c>
      <c r="C10" s="89" t="s">
        <v>47</v>
      </c>
      <c r="D10" s="90"/>
      <c r="E10" s="30" t="s">
        <v>51</v>
      </c>
      <c r="F10" s="30">
        <v>1</v>
      </c>
      <c r="G10" s="57" t="s">
        <v>44</v>
      </c>
      <c r="H10" s="91">
        <v>100</v>
      </c>
      <c r="I10" s="92"/>
      <c r="J10" s="93">
        <v>40</v>
      </c>
      <c r="K10" s="94"/>
      <c r="L10" s="94"/>
      <c r="M10" s="94"/>
      <c r="N10" s="94">
        <v>1</v>
      </c>
      <c r="O10" s="94"/>
      <c r="P10" s="94">
        <v>0.3</v>
      </c>
      <c r="Q10" s="94">
        <v>0.3</v>
      </c>
      <c r="R10" s="94"/>
      <c r="S10" s="94">
        <v>0.5</v>
      </c>
      <c r="T10" s="85">
        <f t="shared" si="1"/>
        <v>2.1</v>
      </c>
      <c r="U10" s="83">
        <f t="shared" si="4"/>
        <v>66180</v>
      </c>
      <c r="V10" s="61">
        <f t="shared" si="3"/>
        <v>66000</v>
      </c>
    </row>
    <row r="11" spans="1:22" s="19" customFormat="1" ht="30" customHeight="1" x14ac:dyDescent="0.3">
      <c r="A11" s="88">
        <v>5</v>
      </c>
      <c r="B11" s="89" t="s">
        <v>48</v>
      </c>
      <c r="C11" s="89" t="s">
        <v>48</v>
      </c>
      <c r="D11" s="90"/>
      <c r="E11" s="30" t="s">
        <v>51</v>
      </c>
      <c r="F11" s="30">
        <v>1</v>
      </c>
      <c r="G11" s="57" t="s">
        <v>44</v>
      </c>
      <c r="H11" s="91">
        <v>95</v>
      </c>
      <c r="I11" s="92"/>
      <c r="J11" s="93">
        <v>415</v>
      </c>
      <c r="K11" s="94"/>
      <c r="L11" s="94"/>
      <c r="M11" s="94"/>
      <c r="N11" s="94">
        <v>3.5</v>
      </c>
      <c r="O11" s="94"/>
      <c r="P11" s="94">
        <v>1</v>
      </c>
      <c r="Q11" s="94">
        <v>2</v>
      </c>
      <c r="R11" s="94"/>
      <c r="S11" s="94">
        <v>3</v>
      </c>
      <c r="T11" s="85">
        <f t="shared" si="1"/>
        <v>9.5</v>
      </c>
      <c r="U11" s="83">
        <f t="shared" si="4"/>
        <v>303100</v>
      </c>
      <c r="V11" s="61">
        <f t="shared" si="3"/>
        <v>303000</v>
      </c>
    </row>
    <row r="12" spans="1:22" s="19" customFormat="1" ht="30" customHeight="1" x14ac:dyDescent="0.3">
      <c r="A12" s="88">
        <v>6</v>
      </c>
      <c r="B12" s="89" t="s">
        <v>49</v>
      </c>
      <c r="C12" s="89" t="s">
        <v>49</v>
      </c>
      <c r="D12" s="90" t="s">
        <v>50</v>
      </c>
      <c r="E12" s="30" t="s">
        <v>51</v>
      </c>
      <c r="F12" s="30">
        <v>1</v>
      </c>
      <c r="G12" s="57" t="s">
        <v>44</v>
      </c>
      <c r="H12" s="91">
        <v>90</v>
      </c>
      <c r="I12" s="92"/>
      <c r="J12" s="93">
        <v>35</v>
      </c>
      <c r="K12" s="94"/>
      <c r="L12" s="94"/>
      <c r="M12" s="94"/>
      <c r="N12" s="94">
        <v>0.5</v>
      </c>
      <c r="O12" s="94"/>
      <c r="P12" s="94">
        <v>0.3</v>
      </c>
      <c r="Q12" s="94">
        <v>0.3</v>
      </c>
      <c r="R12" s="94">
        <v>1</v>
      </c>
      <c r="S12" s="94">
        <v>0.5</v>
      </c>
      <c r="T12" s="85">
        <f t="shared" si="1"/>
        <v>2.6</v>
      </c>
      <c r="U12" s="83">
        <f t="shared" si="4"/>
        <v>83680</v>
      </c>
      <c r="V12" s="61">
        <f t="shared" si="3"/>
        <v>83000</v>
      </c>
    </row>
    <row r="13" spans="1:22" s="19" customFormat="1" ht="30" customHeight="1" thickBot="1" x14ac:dyDescent="0.35">
      <c r="A13" s="50"/>
      <c r="B13" s="43"/>
      <c r="C13" s="44"/>
      <c r="D13" s="45"/>
      <c r="E13" s="51"/>
      <c r="F13" s="51"/>
      <c r="G13" s="52"/>
      <c r="H13" s="53"/>
      <c r="I13" s="54"/>
      <c r="J13" s="55"/>
      <c r="K13" s="46"/>
      <c r="L13" s="46"/>
      <c r="M13" s="46"/>
      <c r="N13" s="46"/>
      <c r="O13" s="46"/>
      <c r="P13" s="46"/>
      <c r="Q13" s="46"/>
      <c r="R13" s="46"/>
      <c r="S13" s="46"/>
      <c r="T13" s="86"/>
      <c r="U13" s="84" t="s">
        <v>37</v>
      </c>
      <c r="V13" s="56">
        <f>SUM(V7:V12)</f>
        <v>1168000</v>
      </c>
    </row>
    <row r="14" spans="1:22" ht="15.75" customHeight="1" x14ac:dyDescent="0.3">
      <c r="A14" s="13"/>
      <c r="B14" s="14"/>
      <c r="C14" s="14"/>
      <c r="D14" s="14"/>
      <c r="E14" s="14"/>
      <c r="F14" s="14"/>
      <c r="G14" s="14"/>
      <c r="H14" s="34"/>
      <c r="I14" s="38"/>
      <c r="J14" s="42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6"/>
      <c r="V14" s="16"/>
    </row>
    <row r="16" spans="1:22" ht="26.25" x14ac:dyDescent="0.5">
      <c r="P16" s="110" t="s">
        <v>19</v>
      </c>
      <c r="Q16" s="110"/>
      <c r="R16" s="110"/>
      <c r="S16" s="110"/>
      <c r="T16" s="110"/>
      <c r="U16" s="110"/>
      <c r="V16" s="110"/>
    </row>
    <row r="17" spans="3:22" ht="26.25" x14ac:dyDescent="0.5">
      <c r="C17" s="115" t="s">
        <v>53</v>
      </c>
      <c r="D17" s="116"/>
      <c r="E17" s="116"/>
      <c r="F17" s="116"/>
      <c r="G17" s="116"/>
      <c r="H17" s="116"/>
      <c r="I17" s="116"/>
      <c r="J17" s="116"/>
      <c r="K17" s="116"/>
      <c r="P17" s="111">
        <f ca="1">TODAY()</f>
        <v>46175</v>
      </c>
      <c r="Q17" s="110"/>
      <c r="R17" s="110"/>
      <c r="S17" s="110"/>
      <c r="T17" s="110"/>
      <c r="U17" s="110"/>
      <c r="V17" s="110"/>
    </row>
    <row r="18" spans="3:22" ht="26.25" x14ac:dyDescent="0.5">
      <c r="C18" s="116"/>
      <c r="D18" s="116"/>
      <c r="E18" s="116"/>
      <c r="F18" s="116"/>
      <c r="G18" s="116"/>
      <c r="H18" s="116"/>
      <c r="I18" s="116"/>
      <c r="J18" s="116"/>
      <c r="K18" s="116"/>
      <c r="P18" s="110" t="s">
        <v>20</v>
      </c>
      <c r="Q18" s="110"/>
      <c r="R18" s="110"/>
      <c r="S18" s="110"/>
      <c r="T18" s="110"/>
      <c r="U18" s="110"/>
      <c r="V18" s="110"/>
    </row>
    <row r="26" spans="3:22" x14ac:dyDescent="0.3">
      <c r="R26" s="17"/>
    </row>
    <row r="38" spans="16:22" ht="16.5" x14ac:dyDescent="0.3">
      <c r="P38" s="18"/>
      <c r="V38" s="18"/>
    </row>
  </sheetData>
  <mergeCells count="5">
    <mergeCell ref="P16:V16"/>
    <mergeCell ref="P17:V17"/>
    <mergeCell ref="P18:V18"/>
    <mergeCell ref="H6:J6"/>
    <mergeCell ref="C17:K18"/>
  </mergeCells>
  <phoneticPr fontId="1" type="noConversion"/>
  <conditionalFormatting sqref="B7:B13">
    <cfRule type="duplicateValues" dxfId="6" priority="27"/>
  </conditionalFormatting>
  <conditionalFormatting sqref="C7">
    <cfRule type="duplicateValues" dxfId="5" priority="6"/>
  </conditionalFormatting>
  <conditionalFormatting sqref="C8">
    <cfRule type="duplicateValues" dxfId="4" priority="5"/>
  </conditionalFormatting>
  <conditionalFormatting sqref="C9">
    <cfRule type="duplicateValues" dxfId="3" priority="4"/>
  </conditionalFormatting>
  <conditionalFormatting sqref="C10">
    <cfRule type="duplicateValues" dxfId="2" priority="3"/>
  </conditionalFormatting>
  <conditionalFormatting sqref="C11">
    <cfRule type="duplicateValues" dxfId="1" priority="2"/>
  </conditionalFormatting>
  <conditionalFormatting sqref="C12">
    <cfRule type="duplicateValues" dxfId="0" priority="1"/>
  </conditionalFormatting>
  <pageMargins left="0.19685039370078741" right="0.19685039370078741" top="0.59055118110236227" bottom="0.43307086614173229" header="0.51181102362204722" footer="0.35433070866141736"/>
  <pageSetup paperSize="9" scale="5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E07A-9E3F-4FC2-944D-57E18C23F0F4}">
  <dimension ref="A1"/>
  <sheetViews>
    <sheetView workbookViewId="0"/>
  </sheetViews>
  <sheetFormatPr defaultRowHeight="16.5" x14ac:dyDescent="0.3"/>
  <sheetData/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견적서</vt:lpstr>
      <vt:lpstr>기계</vt:lpstr>
      <vt:lpstr>Sheet1</vt:lpstr>
      <vt:lpstr>기계!Print_Area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thinpc202408</cp:lastModifiedBy>
  <cp:lastPrinted>2026-06-02T06:41:36Z</cp:lastPrinted>
  <dcterms:created xsi:type="dcterms:W3CDTF">2019-03-03T23:00:53Z</dcterms:created>
  <dcterms:modified xsi:type="dcterms:W3CDTF">2026-06-02T06:53:05Z</dcterms:modified>
</cp:coreProperties>
</file>