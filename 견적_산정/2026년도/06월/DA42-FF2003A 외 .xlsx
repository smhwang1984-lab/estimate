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xr:revisionPtr revIDLastSave="0" documentId="13_ncr:1_{69CE2ADF-1B3E-4FFF-AEB1-A70D1914902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기계!$A$1:$V$32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0" l="1"/>
  <c r="T22" i="10"/>
  <c r="U22" i="10"/>
  <c r="V22" i="10" s="1"/>
  <c r="G31" i="9" s="1"/>
  <c r="U26" i="10"/>
  <c r="V26" i="10" s="1"/>
  <c r="T26" i="10"/>
  <c r="A26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20" i="9"/>
  <c r="B33" i="9"/>
  <c r="B32" i="9"/>
  <c r="B31" i="9"/>
  <c r="B30" i="9"/>
  <c r="B29" i="9"/>
  <c r="B28" i="9"/>
  <c r="B34" i="9"/>
  <c r="B27" i="9"/>
  <c r="B26" i="9"/>
  <c r="B25" i="9"/>
  <c r="B24" i="9"/>
  <c r="B23" i="9"/>
  <c r="B22" i="9"/>
  <c r="B21" i="9"/>
  <c r="B20" i="9"/>
  <c r="B19" i="9"/>
  <c r="B18" i="9"/>
  <c r="B17" i="9"/>
  <c r="B16" i="9"/>
  <c r="A25" i="10"/>
  <c r="A24" i="10"/>
  <c r="T24" i="10"/>
  <c r="U24" i="10"/>
  <c r="V24" i="10" s="1"/>
  <c r="G33" i="9" s="1"/>
  <c r="T25" i="10"/>
  <c r="U25" i="10"/>
  <c r="V25" i="10" s="1"/>
  <c r="G34" i="9" s="1"/>
  <c r="A23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T12" i="10"/>
  <c r="U12" i="10"/>
  <c r="V12" i="10" s="1"/>
  <c r="G21" i="9" s="1"/>
  <c r="T13" i="10"/>
  <c r="U13" i="10"/>
  <c r="V13" i="10" s="1"/>
  <c r="G22" i="9" s="1"/>
  <c r="T14" i="10"/>
  <c r="U14" i="10"/>
  <c r="V14" i="10" s="1"/>
  <c r="G23" i="9" s="1"/>
  <c r="T15" i="10"/>
  <c r="U15" i="10"/>
  <c r="V15" i="10" s="1"/>
  <c r="G24" i="9" s="1"/>
  <c r="T16" i="10"/>
  <c r="U16" i="10"/>
  <c r="V16" i="10" s="1"/>
  <c r="G25" i="9" s="1"/>
  <c r="T17" i="10"/>
  <c r="U17" i="10"/>
  <c r="V17" i="10" s="1"/>
  <c r="G26" i="9" s="1"/>
  <c r="T18" i="10"/>
  <c r="U18" i="10"/>
  <c r="V18" i="10" s="1"/>
  <c r="G27" i="9" s="1"/>
  <c r="T19" i="10"/>
  <c r="U19" i="10"/>
  <c r="V19" i="10" s="1"/>
  <c r="G28" i="9" s="1"/>
  <c r="T20" i="10"/>
  <c r="U20" i="10"/>
  <c r="V20" i="10" s="1"/>
  <c r="G29" i="9" s="1"/>
  <c r="T21" i="10"/>
  <c r="U21" i="10"/>
  <c r="V21" i="10" s="1"/>
  <c r="G30" i="9" s="1"/>
  <c r="T23" i="10"/>
  <c r="U23" i="10"/>
  <c r="V23" i="10" s="1"/>
  <c r="G32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27" i="10" l="1"/>
  <c r="G20" i="9"/>
  <c r="G35" i="9" l="1"/>
</calcChain>
</file>

<file path=xl/sharedStrings.xml><?xml version="1.0" encoding="utf-8"?>
<sst xmlns="http://schemas.openxmlformats.org/spreadsheetml/2006/main" count="129" uniqueCount="94">
  <si>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</si>
  <si>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</si>
  <si>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</si>
  <si>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</si>
  <si>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</si>
  <si>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</si>
  <si>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</si>
  <si>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</si>
  <si>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</si>
  <si>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</si>
  <si>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</si>
  <si>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</si>
  <si>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</si>
  <si>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</si>
  <si>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</si>
  <si>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</si>
  <si>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</si>
  <si>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</si>
  <si>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</si>
  <si>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</si>
  <si>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</si>
  <si>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</si>
  <si>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</si>
  <si>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</si>
  <si>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</si>
  <si>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</si>
  <si>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</si>
  <si>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</si>
  <si>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</si>
  <si>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</si>
  <si>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</si>
  <si>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</si>
  <si>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</si>
  <si>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</si>
  <si>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</si>
  <si>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</si>
  <si>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</si>
  <si>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</si>
  <si>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</si>
  <si>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</si>
  <si>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</si>
  <si>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</si>
  <si>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DA42-FF2003A</t>
    <phoneticPr fontId="1" type="noConversion"/>
  </si>
  <si>
    <t>판,. 장비장착용</t>
    <phoneticPr fontId="1" type="noConversion"/>
  </si>
  <si>
    <t>AL6061-T651</t>
    <phoneticPr fontId="1" type="noConversion"/>
  </si>
  <si>
    <t>전용 치구 재작필요</t>
    <phoneticPr fontId="1" type="noConversion"/>
  </si>
  <si>
    <t>DA42-FF3006A</t>
    <phoneticPr fontId="1" type="noConversion"/>
  </si>
  <si>
    <t>프레임, 연결용</t>
    <phoneticPr fontId="1" type="noConversion"/>
  </si>
  <si>
    <t>DA42-FF3008A</t>
    <phoneticPr fontId="1" type="noConversion"/>
  </si>
  <si>
    <t>프레임, 지지용</t>
    <phoneticPr fontId="1" type="noConversion"/>
  </si>
  <si>
    <t>FF3006_MASTER FIXED</t>
    <phoneticPr fontId="1" type="noConversion"/>
  </si>
  <si>
    <t>DA42-FF3004A</t>
    <phoneticPr fontId="1" type="noConversion"/>
  </si>
  <si>
    <t>판, 장비장착용</t>
    <phoneticPr fontId="1" type="noConversion"/>
  </si>
  <si>
    <t>DA42-FF3010A</t>
    <phoneticPr fontId="1" type="noConversion"/>
  </si>
  <si>
    <t xml:space="preserve">프레임, 지지용 </t>
    <phoneticPr fontId="1" type="noConversion"/>
  </si>
  <si>
    <t>ASIM A516 Greade 70</t>
    <phoneticPr fontId="1" type="noConversion"/>
  </si>
  <si>
    <t>DA42-FF2005A</t>
    <phoneticPr fontId="1" type="noConversion"/>
  </si>
  <si>
    <t>브래킷, 설치용[RA]</t>
    <phoneticPr fontId="1" type="noConversion"/>
  </si>
  <si>
    <t>Quick Postion Fixed</t>
    <phoneticPr fontId="1" type="noConversion"/>
  </si>
  <si>
    <t>DA42-FF2001A</t>
    <phoneticPr fontId="1" type="noConversion"/>
  </si>
  <si>
    <t>케이블덕터, 전방</t>
    <phoneticPr fontId="1" type="noConversion"/>
  </si>
  <si>
    <t>DA42-FF3012A</t>
    <phoneticPr fontId="1" type="noConversion"/>
  </si>
  <si>
    <t>브래킷. 설치용[GPS]</t>
    <phoneticPr fontId="1" type="noConversion"/>
  </si>
  <si>
    <t>DA42-FF3011A</t>
    <phoneticPr fontId="1" type="noConversion"/>
  </si>
  <si>
    <t>브래킷. 설치용[MDI]</t>
    <phoneticPr fontId="1" type="noConversion"/>
  </si>
  <si>
    <t>FF3012_MASTER FIXED</t>
    <phoneticPr fontId="1" type="noConversion"/>
  </si>
  <si>
    <t>DA42-FF3015A</t>
    <phoneticPr fontId="1" type="noConversion"/>
  </si>
  <si>
    <t>브라켓, 연결용</t>
    <phoneticPr fontId="1" type="noConversion"/>
  </si>
  <si>
    <t>LANG VISE</t>
    <phoneticPr fontId="1" type="noConversion"/>
  </si>
  <si>
    <t>DA42-FF3009A</t>
    <phoneticPr fontId="1" type="noConversion"/>
  </si>
  <si>
    <t xml:space="preserve">브라켓, 연결용 </t>
    <phoneticPr fontId="1" type="noConversion"/>
  </si>
  <si>
    <t>W_확인필요</t>
    <phoneticPr fontId="1" type="noConversion"/>
  </si>
  <si>
    <t>DA42-FF2007A</t>
    <phoneticPr fontId="1" type="noConversion"/>
  </si>
  <si>
    <t xml:space="preserve">브라켓, 연결용  </t>
    <phoneticPr fontId="1" type="noConversion"/>
  </si>
  <si>
    <t>FF2007_MASTER FIXED</t>
    <phoneticPr fontId="1" type="noConversion"/>
  </si>
  <si>
    <t>DA42-FF2006A</t>
    <phoneticPr fontId="1" type="noConversion"/>
  </si>
  <si>
    <t xml:space="preserve">브라켓, 연결용   </t>
    <phoneticPr fontId="1" type="noConversion"/>
  </si>
  <si>
    <t>DA42-FF3013A</t>
    <phoneticPr fontId="1" type="noConversion"/>
  </si>
  <si>
    <t xml:space="preserve">브라켓, 연결용    </t>
    <phoneticPr fontId="1" type="noConversion"/>
  </si>
  <si>
    <t>STROCK OVER</t>
    <phoneticPr fontId="1" type="noConversion"/>
  </si>
  <si>
    <t>블가</t>
    <phoneticPr fontId="1" type="noConversion"/>
  </si>
  <si>
    <t>DA42-FF3014A</t>
    <phoneticPr fontId="1" type="noConversion"/>
  </si>
  <si>
    <t xml:space="preserve">브라켓, 연결용     </t>
    <phoneticPr fontId="1" type="noConversion"/>
  </si>
  <si>
    <t>DA42-FF3001A</t>
    <phoneticPr fontId="1" type="noConversion"/>
  </si>
  <si>
    <t xml:space="preserve">프레임, 지지용  </t>
    <phoneticPr fontId="1" type="noConversion"/>
  </si>
  <si>
    <t>선삭작업 필요</t>
    <phoneticPr fontId="1" type="noConversion"/>
  </si>
  <si>
    <t>"</t>
    <phoneticPr fontId="1" type="noConversion"/>
  </si>
  <si>
    <t>MCT 경우</t>
    <phoneticPr fontId="1" type="noConversion"/>
  </si>
  <si>
    <t>DA42-FF3005A</t>
    <phoneticPr fontId="1" type="noConversion"/>
  </si>
  <si>
    <t xml:space="preserve">프레임, 지지용   </t>
    <phoneticPr fontId="1" type="noConversion"/>
  </si>
  <si>
    <t xml:space="preserve">" </t>
    <phoneticPr fontId="1" type="noConversion"/>
  </si>
  <si>
    <t>Coment : 17 = 16의 MCT 가공 견적, 19 = 18의 MCT 가공 견적,  14, 15 5축 STOCK OVER 가공불가 
            10. 11 소재 W사이즈 정확한 확인을 위해 모델 필요</t>
    <phoneticPr fontId="1" type="noConversion"/>
  </si>
  <si>
    <t>DA42-FF2002A</t>
    <phoneticPr fontId="1" type="noConversion"/>
  </si>
  <si>
    <t xml:space="preserve">프레임, 지지용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</si>
</sst>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48576"/>
  <sheetViews>
    <sheetView topLeftCell="B7" workbookViewId="0">
      <selection activeCell="J18" sqref="J18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60" t="s">
        <v>4</v>
      </c>
      <c r="C1" s="61"/>
      <c r="D1" s="61"/>
      <c r="E1" s="61"/>
      <c r="F1" s="61"/>
      <c r="G1" s="61"/>
      <c r="H1" s="61"/>
    </row>
    <row r="2" spans="2:8" ht="27" x14ac:dyDescent="0.3">
      <c r="B2" s="62"/>
      <c r="C2" s="63"/>
      <c r="D2" s="63"/>
      <c r="E2" s="63"/>
      <c r="F2" s="63"/>
      <c r="G2" s="63"/>
      <c r="H2" s="63"/>
    </row>
    <row r="3" spans="2:8" x14ac:dyDescent="0.3">
      <c r="B3" s="64"/>
      <c r="C3" s="64"/>
      <c r="D3" s="64"/>
      <c r="E3" s="64"/>
      <c r="F3" s="65"/>
      <c r="G3" s="66"/>
      <c r="H3" s="66"/>
    </row>
    <row r="4" spans="2:8" ht="39.950000000000003" customHeight="1" x14ac:dyDescent="0.3">
      <c r="B4" s="67" t="s">
        <v>32</v>
      </c>
      <c r="C4" s="68"/>
      <c r="D4" s="68"/>
      <c r="E4" s="68"/>
      <c r="F4" s="69"/>
      <c r="G4" s="69"/>
      <c r="H4" s="69"/>
    </row>
    <row r="5" spans="2:8" ht="21" customHeight="1" x14ac:dyDescent="0.3">
      <c r="B5" s="88" t="s">
        <v>36</v>
      </c>
      <c r="C5" s="88"/>
      <c r="D5" s="88"/>
      <c r="E5" s="88"/>
      <c r="F5" s="70" t="s">
        <v>33</v>
      </c>
      <c r="G5" s="70"/>
      <c r="H5" s="70"/>
    </row>
    <row r="6" spans="2:8" ht="24.75" customHeight="1" x14ac:dyDescent="0.3">
      <c r="B6" s="88" t="s">
        <v>3</v>
      </c>
      <c r="C6" s="88"/>
      <c r="D6" s="88"/>
      <c r="E6" s="88"/>
      <c r="F6" s="70" t="s">
        <v>29</v>
      </c>
      <c r="G6" s="70"/>
      <c r="H6" s="70"/>
    </row>
    <row r="7" spans="2:8" ht="24.75" customHeight="1" x14ac:dyDescent="0.3">
      <c r="B7" s="88" t="s">
        <v>41</v>
      </c>
      <c r="C7" s="88"/>
      <c r="D7" s="88"/>
      <c r="E7" s="88"/>
      <c r="F7" s="89" t="s">
        <v>30</v>
      </c>
      <c r="G7" s="89"/>
      <c r="H7" s="89"/>
    </row>
    <row r="8" spans="2:8" ht="24.75" customHeight="1" x14ac:dyDescent="0.3">
      <c r="B8" s="71" t="s">
        <v>28</v>
      </c>
      <c r="C8" s="70"/>
      <c r="D8" s="70"/>
      <c r="E8" s="70"/>
      <c r="F8" s="70" t="s">
        <v>31</v>
      </c>
      <c r="G8" s="70"/>
      <c r="H8" s="70"/>
    </row>
    <row r="9" spans="2:8" ht="24.75" customHeight="1" x14ac:dyDescent="0.3">
      <c r="B9" s="70" t="s">
        <v>2</v>
      </c>
      <c r="C9" s="70"/>
      <c r="D9" s="70"/>
      <c r="E9" s="70"/>
      <c r="F9" s="70" t="s">
        <v>40</v>
      </c>
      <c r="G9" s="70"/>
      <c r="H9" s="7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4" t="s">
        <v>1</v>
      </c>
      <c r="C15" s="92" t="s">
        <v>34</v>
      </c>
      <c r="D15" s="92"/>
      <c r="E15" s="92" t="s">
        <v>35</v>
      </c>
      <c r="F15" s="93"/>
      <c r="G15" s="90" t="s">
        <v>15</v>
      </c>
      <c r="H15" s="91"/>
    </row>
    <row r="16" spans="2:8" ht="24.75" customHeight="1" x14ac:dyDescent="0.3">
      <c r="B16" s="25">
        <f>ROW()-15</f>
        <v>1</v>
      </c>
      <c r="C16" s="86" t="str">
        <f>기계!$B7</f>
        <v>DA42-FF2003A</v>
      </c>
      <c r="D16" s="87"/>
      <c r="E16" s="82" t="str">
        <f>기계!$C7</f>
        <v>판,. 장비장착용</v>
      </c>
      <c r="F16" s="87"/>
      <c r="G16" s="84">
        <f>기계!$V7</f>
        <v>395000</v>
      </c>
      <c r="H16" s="85"/>
    </row>
    <row r="17" spans="2:8" ht="24.75" customHeight="1" x14ac:dyDescent="0.3">
      <c r="B17" s="25">
        <f t="shared" ref="B17:B34" si="0">ROW()-15</f>
        <v>2</v>
      </c>
      <c r="C17" s="86" t="str">
        <f>기계!$B8</f>
        <v>DA42-FF3006A</v>
      </c>
      <c r="D17" s="87"/>
      <c r="E17" s="82" t="str">
        <f>기계!$C8</f>
        <v>프레임, 연결용</v>
      </c>
      <c r="F17" s="83"/>
      <c r="G17" s="84">
        <f>기계!$V8</f>
        <v>305000</v>
      </c>
      <c r="H17" s="85"/>
    </row>
    <row r="18" spans="2:8" ht="24.75" customHeight="1" x14ac:dyDescent="0.3">
      <c r="B18" s="25">
        <f t="shared" si="0"/>
        <v>3</v>
      </c>
      <c r="C18" s="86" t="str">
        <f>기계!$B9</f>
        <v>DA42-FF3008A</v>
      </c>
      <c r="D18" s="87"/>
      <c r="E18" s="82" t="str">
        <f>기계!$C9</f>
        <v>프레임, 지지용</v>
      </c>
      <c r="F18" s="83"/>
      <c r="G18" s="84">
        <f>기계!$V9</f>
        <v>410000</v>
      </c>
      <c r="H18" s="85"/>
    </row>
    <row r="19" spans="2:8" ht="24.75" customHeight="1" x14ac:dyDescent="0.3">
      <c r="B19" s="25">
        <f t="shared" si="0"/>
        <v>4</v>
      </c>
      <c r="C19" s="86" t="str">
        <f>기계!$B10</f>
        <v>DA42-FF3004A</v>
      </c>
      <c r="D19" s="87"/>
      <c r="E19" s="82" t="str">
        <f>기계!$C10</f>
        <v>판, 장비장착용</v>
      </c>
      <c r="F19" s="83"/>
      <c r="G19" s="84">
        <f>기계!$V10</f>
        <v>586000</v>
      </c>
      <c r="H19" s="85"/>
    </row>
    <row r="20" spans="2:8" ht="24.75" customHeight="1" x14ac:dyDescent="0.3">
      <c r="B20" s="25">
        <f t="shared" si="0"/>
        <v>5</v>
      </c>
      <c r="C20" s="86" t="str">
        <f>기계!$B11</f>
        <v>DA42-FF3010A</v>
      </c>
      <c r="D20" s="87"/>
      <c r="E20" s="82" t="str">
        <f>기계!$C11</f>
        <v xml:space="preserve">프레임, 지지용 </v>
      </c>
      <c r="F20" s="83"/>
      <c r="G20" s="84">
        <f>기계!$V11</f>
        <v>536000</v>
      </c>
      <c r="H20" s="85"/>
    </row>
    <row r="21" spans="2:8" ht="24.75" customHeight="1" x14ac:dyDescent="0.3">
      <c r="B21" s="25">
        <f t="shared" si="0"/>
        <v>6</v>
      </c>
      <c r="C21" s="86" t="str">
        <f>기계!$B12</f>
        <v>DA42-FF2005A</v>
      </c>
      <c r="D21" s="87"/>
      <c r="E21" s="82" t="str">
        <f>기계!$C12</f>
        <v>브래킷, 설치용[RA]</v>
      </c>
      <c r="F21" s="83"/>
      <c r="G21" s="84">
        <f>기계!$V12</f>
        <v>330000</v>
      </c>
      <c r="H21" s="85"/>
    </row>
    <row r="22" spans="2:8" ht="24.75" customHeight="1" x14ac:dyDescent="0.3">
      <c r="B22" s="25">
        <f t="shared" si="0"/>
        <v>7</v>
      </c>
      <c r="C22" s="86" t="str">
        <f>기계!$B13</f>
        <v>DA42-FF2001A</v>
      </c>
      <c r="D22" s="87"/>
      <c r="E22" s="82" t="str">
        <f>기계!$C13</f>
        <v>케이블덕터, 전방</v>
      </c>
      <c r="F22" s="83"/>
      <c r="G22" s="84">
        <f>기계!$V13</f>
        <v>1316000</v>
      </c>
      <c r="H22" s="85"/>
    </row>
    <row r="23" spans="2:8" ht="24.75" customHeight="1" x14ac:dyDescent="0.3">
      <c r="B23" s="25">
        <f t="shared" si="0"/>
        <v>8</v>
      </c>
      <c r="C23" s="86" t="str">
        <f>기계!$B14</f>
        <v>DA42-FF3012A</v>
      </c>
      <c r="D23" s="87"/>
      <c r="E23" s="82" t="str">
        <f>기계!$C14</f>
        <v>브래킷. 설치용[GPS]</v>
      </c>
      <c r="F23" s="83"/>
      <c r="G23" s="84">
        <f>기계!$V14</f>
        <v>588000</v>
      </c>
      <c r="H23" s="85"/>
    </row>
    <row r="24" spans="2:8" ht="24.75" customHeight="1" x14ac:dyDescent="0.3">
      <c r="B24" s="25">
        <f t="shared" si="0"/>
        <v>9</v>
      </c>
      <c r="C24" s="86" t="str">
        <f>기계!$B15</f>
        <v>DA42-FF3011A</v>
      </c>
      <c r="D24" s="87"/>
      <c r="E24" s="82" t="str">
        <f>기계!$C15</f>
        <v>브래킷. 설치용[MDI]</v>
      </c>
      <c r="F24" s="83"/>
      <c r="G24" s="84">
        <f>기계!$V15</f>
        <v>418000</v>
      </c>
      <c r="H24" s="85"/>
    </row>
    <row r="25" spans="2:8" ht="24.75" customHeight="1" x14ac:dyDescent="0.3">
      <c r="B25" s="25">
        <f t="shared" si="0"/>
        <v>10</v>
      </c>
      <c r="C25" s="86" t="str">
        <f>기계!$B16</f>
        <v>DA42-FF3015A</v>
      </c>
      <c r="D25" s="87"/>
      <c r="E25" s="82" t="str">
        <f>기계!$C16</f>
        <v>브라켓, 연결용</v>
      </c>
      <c r="F25" s="83"/>
      <c r="G25" s="84">
        <f>기계!$V16</f>
        <v>385000</v>
      </c>
      <c r="H25" s="85"/>
    </row>
    <row r="26" spans="2:8" ht="24.75" customHeight="1" x14ac:dyDescent="0.3">
      <c r="B26" s="25">
        <f t="shared" si="0"/>
        <v>11</v>
      </c>
      <c r="C26" s="86" t="str">
        <f>기계!$B17</f>
        <v>DA42-FF3009A</v>
      </c>
      <c r="D26" s="87"/>
      <c r="E26" s="82" t="str">
        <f>기계!$C17</f>
        <v xml:space="preserve">브라켓, 연결용 </v>
      </c>
      <c r="F26" s="83"/>
      <c r="G26" s="84">
        <f>기계!$V17</f>
        <v>420000</v>
      </c>
      <c r="H26" s="85"/>
    </row>
    <row r="27" spans="2:8" ht="24.75" customHeight="1" x14ac:dyDescent="0.3">
      <c r="B27" s="25">
        <f t="shared" si="0"/>
        <v>12</v>
      </c>
      <c r="C27" s="86" t="str">
        <f>기계!$B18</f>
        <v>DA42-FF2007A</v>
      </c>
      <c r="D27" s="87"/>
      <c r="E27" s="82" t="str">
        <f>기계!$C18</f>
        <v xml:space="preserve">브라켓, 연결용  </v>
      </c>
      <c r="F27" s="83"/>
      <c r="G27" s="84">
        <f>기계!$V18</f>
        <v>350000</v>
      </c>
      <c r="H27" s="85"/>
    </row>
    <row r="28" spans="2:8" ht="24.75" customHeight="1" x14ac:dyDescent="0.3">
      <c r="B28" s="25">
        <f t="shared" si="0"/>
        <v>13</v>
      </c>
      <c r="C28" s="86" t="str">
        <f>기계!$B19</f>
        <v>DA42-FF2006A</v>
      </c>
      <c r="D28" s="87"/>
      <c r="E28" s="82" t="str">
        <f>기계!$C19</f>
        <v xml:space="preserve">브라켓, 연결용   </v>
      </c>
      <c r="F28" s="83"/>
      <c r="G28" s="84">
        <f>기계!$V19</f>
        <v>350000</v>
      </c>
      <c r="H28" s="85"/>
    </row>
    <row r="29" spans="2:8" ht="24.75" customHeight="1" x14ac:dyDescent="0.3">
      <c r="B29" s="25">
        <f t="shared" si="0"/>
        <v>14</v>
      </c>
      <c r="C29" s="86" t="str">
        <f>기계!$B20</f>
        <v>DA42-FF3013A</v>
      </c>
      <c r="D29" s="87"/>
      <c r="E29" s="82" t="str">
        <f>기계!$C20</f>
        <v xml:space="preserve">브라켓, 연결용    </v>
      </c>
      <c r="F29" s="83"/>
      <c r="G29" s="84">
        <f>기계!$V20</f>
        <v>0</v>
      </c>
      <c r="H29" s="85"/>
    </row>
    <row r="30" spans="2:8" ht="24.75" customHeight="1" x14ac:dyDescent="0.3">
      <c r="B30" s="25">
        <f t="shared" si="0"/>
        <v>15</v>
      </c>
      <c r="C30" s="86" t="str">
        <f>기계!$B21</f>
        <v>DA42-FF3014A</v>
      </c>
      <c r="D30" s="87"/>
      <c r="E30" s="82" t="str">
        <f>기계!$C21</f>
        <v xml:space="preserve">브라켓, 연결용     </v>
      </c>
      <c r="F30" s="83"/>
      <c r="G30" s="84">
        <f>기계!$V21</f>
        <v>0</v>
      </c>
      <c r="H30" s="85"/>
    </row>
    <row r="31" spans="2:8" ht="24.75" customHeight="1" x14ac:dyDescent="0.3">
      <c r="B31" s="25">
        <f t="shared" si="0"/>
        <v>16</v>
      </c>
      <c r="C31" s="86" t="str">
        <f>기계!$B22</f>
        <v>DA42-FF3001A</v>
      </c>
      <c r="D31" s="87"/>
      <c r="E31" s="82" t="str">
        <f>기계!$C22</f>
        <v xml:space="preserve">프레임, 지지용  </v>
      </c>
      <c r="F31" s="83"/>
      <c r="G31" s="84">
        <f>기계!$V22</f>
        <v>491000</v>
      </c>
      <c r="H31" s="85"/>
    </row>
    <row r="32" spans="2:8" ht="24.75" customHeight="1" x14ac:dyDescent="0.3">
      <c r="B32" s="25">
        <f t="shared" si="0"/>
        <v>17</v>
      </c>
      <c r="C32" s="86" t="str">
        <f>기계!$B23</f>
        <v>"</v>
      </c>
      <c r="D32" s="87"/>
      <c r="E32" s="82" t="str">
        <f>기계!$C23</f>
        <v>"</v>
      </c>
      <c r="F32" s="83"/>
      <c r="G32" s="84">
        <f>기계!$V23</f>
        <v>871000</v>
      </c>
      <c r="H32" s="85"/>
    </row>
    <row r="33" spans="2:8" ht="24.75" customHeight="1" x14ac:dyDescent="0.3">
      <c r="B33" s="25">
        <f t="shared" si="0"/>
        <v>18</v>
      </c>
      <c r="C33" s="86" t="str">
        <f>기계!$B24</f>
        <v>DA42-FF3005A</v>
      </c>
      <c r="D33" s="87"/>
      <c r="E33" s="82" t="str">
        <f>기계!$C24</f>
        <v xml:space="preserve">프레임, 지지용   </v>
      </c>
      <c r="F33" s="83"/>
      <c r="G33" s="84">
        <f>기계!$V24</f>
        <v>491000</v>
      </c>
      <c r="H33" s="85"/>
    </row>
    <row r="34" spans="2:8" ht="24.75" customHeight="1" x14ac:dyDescent="0.3">
      <c r="B34" s="25">
        <f t="shared" si="0"/>
        <v>19</v>
      </c>
      <c r="C34" s="86" t="str">
        <f>기계!$B25</f>
        <v xml:space="preserve">" </v>
      </c>
      <c r="D34" s="87"/>
      <c r="E34" s="82" t="str">
        <f>기계!$C25</f>
        <v xml:space="preserve">" </v>
      </c>
      <c r="F34" s="83"/>
      <c r="G34" s="84">
        <f>기계!$V25</f>
        <v>871000</v>
      </c>
      <c r="H34" s="85"/>
    </row>
    <row r="35" spans="2:8" ht="24.75" customHeight="1" x14ac:dyDescent="0.3">
      <c r="B35" s="92" t="s">
        <v>0</v>
      </c>
      <c r="C35" s="96"/>
      <c r="D35" s="96"/>
      <c r="E35" s="94"/>
      <c r="F35" s="95"/>
      <c r="G35" s="94">
        <f>SUM(G16:G34)</f>
        <v>9113000</v>
      </c>
      <c r="H35" s="95"/>
    </row>
    <row r="36" spans="2:8" ht="10.5" customHeight="1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3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>
      <c r="B39" s="2"/>
      <c r="C39" s="2"/>
      <c r="D39" s="2"/>
      <c r="E39" s="2"/>
      <c r="F39" s="2"/>
      <c r="G39" s="2"/>
      <c r="H39" s="2"/>
    </row>
    <row r="40" spans="2:8" x14ac:dyDescent="0.3">
      <c r="B40" s="2"/>
      <c r="C40" s="2"/>
      <c r="D40" s="2"/>
      <c r="E40" s="2"/>
      <c r="F40" s="2"/>
      <c r="G40" s="2"/>
      <c r="H40" s="2"/>
    </row>
    <row r="41" spans="2:8" x14ac:dyDescent="0.3">
      <c r="B41" s="2"/>
      <c r="C41" s="2"/>
      <c r="D41" s="2"/>
      <c r="E41" s="2"/>
      <c r="F41" s="2"/>
      <c r="G41" s="2"/>
      <c r="H41" s="2"/>
    </row>
    <row r="42" spans="2:8" x14ac:dyDescent="0.3">
      <c r="B42" s="2"/>
      <c r="C42" s="2"/>
      <c r="D42" s="2"/>
      <c r="E42" s="2"/>
      <c r="F42" s="2"/>
      <c r="G42" s="2"/>
      <c r="H42" s="2"/>
    </row>
    <row r="43" spans="2:8" x14ac:dyDescent="0.3"/>
    <row r="44" spans="2:8" x14ac:dyDescent="0.3"/>
    <row r="45" spans="2:8" x14ac:dyDescent="0.3"/>
    <row r="46" spans="2:8" x14ac:dyDescent="0.3"/>
    <row r="47" spans="2:8" x14ac:dyDescent="0.3"/>
    <row r="1048576" spans="3:4" ht="13.5" customHeight="1" x14ac:dyDescent="0.3">
      <c r="C1048576" s="86"/>
      <c r="D1048576" s="87"/>
    </row>
  </sheetData>
  <mergeCells count="68">
    <mergeCell ref="G34:H34"/>
    <mergeCell ref="G17:H17"/>
    <mergeCell ref="G18:H18"/>
    <mergeCell ref="G19:H19"/>
    <mergeCell ref="G20:H20"/>
    <mergeCell ref="G21:H21"/>
    <mergeCell ref="G35:H35"/>
    <mergeCell ref="C21:D21"/>
    <mergeCell ref="C34:D34"/>
    <mergeCell ref="E34:F34"/>
    <mergeCell ref="C27:D27"/>
    <mergeCell ref="E27:F27"/>
    <mergeCell ref="C31:D31"/>
    <mergeCell ref="E31:F31"/>
    <mergeCell ref="B35:D35"/>
    <mergeCell ref="E35:F35"/>
    <mergeCell ref="E21:F21"/>
    <mergeCell ref="C26:D26"/>
    <mergeCell ref="E26:F26"/>
    <mergeCell ref="G26:H26"/>
    <mergeCell ref="G27:H27"/>
    <mergeCell ref="G31:H31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22:D22"/>
    <mergeCell ref="C23:D23"/>
    <mergeCell ref="C24:D24"/>
    <mergeCell ref="C25:D25"/>
    <mergeCell ref="C28:D28"/>
    <mergeCell ref="E25:F25"/>
    <mergeCell ref="E28:F28"/>
    <mergeCell ref="C1048576:D1048576"/>
    <mergeCell ref="C29:D29"/>
    <mergeCell ref="C30:D30"/>
    <mergeCell ref="C32:D32"/>
    <mergeCell ref="C33:D33"/>
    <mergeCell ref="E29:F29"/>
    <mergeCell ref="E30:F30"/>
    <mergeCell ref="E32:F32"/>
    <mergeCell ref="E33:F33"/>
    <mergeCell ref="G22:H22"/>
    <mergeCell ref="G23:H23"/>
    <mergeCell ref="G24:H24"/>
    <mergeCell ref="G25:H25"/>
    <mergeCell ref="G28:H28"/>
    <mergeCell ref="G29:H29"/>
    <mergeCell ref="G30:H30"/>
    <mergeCell ref="G32:H32"/>
    <mergeCell ref="G33:H33"/>
    <mergeCell ref="E22:F22"/>
    <mergeCell ref="E23:F23"/>
    <mergeCell ref="E24:F24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2"/>
  <sheetViews>
    <sheetView tabSelected="1" topLeftCell="A9" zoomScale="85" zoomScaleNormal="85" workbookViewId="0">
      <selection activeCell="Q26" sqref="Q26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5.375" style="6" bestFit="1" customWidth="1"/>
    <col min="5" max="5" width="23.75" style="6" bestFit="1" customWidth="1"/>
    <col min="6" max="6" width="4.5" style="6" customWidth="1"/>
    <col min="7" max="7" width="20.125" style="6" bestFit="1" customWidth="1"/>
    <col min="8" max="8" width="7.75" style="27" bestFit="1" customWidth="1"/>
    <col min="9" max="9" width="9.125" style="31" bestFit="1" customWidth="1"/>
    <col min="10" max="10" width="8.75" style="35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28"/>
      <c r="I4" s="32"/>
      <c r="J4" s="36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29"/>
      <c r="I5" s="33"/>
      <c r="J5" s="37"/>
      <c r="K5" s="59">
        <v>70000</v>
      </c>
      <c r="L5" s="59">
        <v>50000</v>
      </c>
      <c r="M5" s="59">
        <v>40000</v>
      </c>
      <c r="N5" s="59">
        <v>35000</v>
      </c>
      <c r="O5" s="59">
        <v>20000</v>
      </c>
      <c r="P5" s="59">
        <v>15600</v>
      </c>
      <c r="Q5" s="59">
        <v>30000</v>
      </c>
      <c r="R5" s="59">
        <v>35000</v>
      </c>
      <c r="S5" s="59">
        <v>35000</v>
      </c>
    </row>
    <row r="6" spans="1:22" s="20" customFormat="1" ht="24.75" customHeight="1" x14ac:dyDescent="0.3">
      <c r="A6" s="52" t="s">
        <v>14</v>
      </c>
      <c r="B6" s="53" t="s">
        <v>25</v>
      </c>
      <c r="C6" s="54" t="s">
        <v>26</v>
      </c>
      <c r="D6" s="54" t="s">
        <v>23</v>
      </c>
      <c r="E6" s="55" t="s">
        <v>27</v>
      </c>
      <c r="F6" s="55" t="s">
        <v>16</v>
      </c>
      <c r="G6" s="53" t="s">
        <v>17</v>
      </c>
      <c r="H6" s="99" t="s">
        <v>24</v>
      </c>
      <c r="I6" s="100"/>
      <c r="J6" s="101"/>
      <c r="K6" s="56" t="s">
        <v>13</v>
      </c>
      <c r="L6" s="56" t="s">
        <v>39</v>
      </c>
      <c r="M6" s="56" t="s">
        <v>12</v>
      </c>
      <c r="N6" s="56" t="s">
        <v>11</v>
      </c>
      <c r="O6" s="56" t="s">
        <v>10</v>
      </c>
      <c r="P6" s="56" t="s">
        <v>9</v>
      </c>
      <c r="Q6" s="56" t="s">
        <v>8</v>
      </c>
      <c r="R6" s="56" t="s">
        <v>7</v>
      </c>
      <c r="S6" s="57" t="s">
        <v>6</v>
      </c>
      <c r="T6" s="58" t="s">
        <v>5</v>
      </c>
      <c r="U6" s="72" t="s">
        <v>38</v>
      </c>
      <c r="V6" s="58" t="s">
        <v>18</v>
      </c>
    </row>
    <row r="7" spans="1:22" s="19" customFormat="1" ht="30" customHeight="1" x14ac:dyDescent="0.3">
      <c r="A7" s="21">
        <f>ROW()-6</f>
        <v>1</v>
      </c>
      <c r="B7" s="78" t="s">
        <v>42</v>
      </c>
      <c r="C7" s="78" t="s">
        <v>43</v>
      </c>
      <c r="D7" s="77" t="s">
        <v>45</v>
      </c>
      <c r="E7" s="26"/>
      <c r="F7" s="22">
        <v>1</v>
      </c>
      <c r="G7" s="81" t="s">
        <v>44</v>
      </c>
      <c r="H7" s="48">
        <v>25.4</v>
      </c>
      <c r="I7" s="49">
        <v>350</v>
      </c>
      <c r="J7" s="50">
        <v>350</v>
      </c>
      <c r="K7" s="23">
        <v>2.5</v>
      </c>
      <c r="L7" s="23"/>
      <c r="M7" s="23">
        <v>1</v>
      </c>
      <c r="N7" s="23"/>
      <c r="O7" s="23"/>
      <c r="P7" s="23">
        <v>1</v>
      </c>
      <c r="Q7" s="23">
        <v>2</v>
      </c>
      <c r="R7" s="23"/>
      <c r="S7" s="23">
        <v>3</v>
      </c>
      <c r="T7" s="75">
        <f>SUM($K7:$S7)</f>
        <v>9.5</v>
      </c>
      <c r="U7" s="73">
        <f>(K7*$K$5+L7*$L$5+M7*$M$5+N7*$N$5+O7*$O$5+P7*$P$5+Q7*$Q$5+S7*$S$5+R7*$R$5)*$F7</f>
        <v>395600</v>
      </c>
      <c r="V7" s="51">
        <f>ROUNDDOWN($U7,-3)</f>
        <v>395000</v>
      </c>
    </row>
    <row r="8" spans="1:22" s="19" customFormat="1" ht="30" customHeight="1" x14ac:dyDescent="0.3">
      <c r="A8" s="21">
        <f t="shared" ref="A8:A26" si="0">ROW()-6</f>
        <v>2</v>
      </c>
      <c r="B8" s="78" t="s">
        <v>46</v>
      </c>
      <c r="C8" s="78" t="s">
        <v>47</v>
      </c>
      <c r="D8" s="77" t="s">
        <v>50</v>
      </c>
      <c r="E8" s="26"/>
      <c r="F8" s="22">
        <v>1</v>
      </c>
      <c r="G8" s="81" t="s">
        <v>44</v>
      </c>
      <c r="H8" s="48">
        <v>25.4</v>
      </c>
      <c r="I8" s="49">
        <v>180</v>
      </c>
      <c r="J8" s="50">
        <v>350</v>
      </c>
      <c r="K8" s="23">
        <v>2</v>
      </c>
      <c r="L8" s="23"/>
      <c r="M8" s="23">
        <v>0.5</v>
      </c>
      <c r="N8" s="23"/>
      <c r="O8" s="23"/>
      <c r="P8" s="23">
        <v>1</v>
      </c>
      <c r="Q8" s="23">
        <v>2</v>
      </c>
      <c r="R8" s="23"/>
      <c r="S8" s="23">
        <v>2</v>
      </c>
      <c r="T8" s="75">
        <f t="shared" ref="T8:T23" si="1">SUM($K8:$S8)</f>
        <v>7.5</v>
      </c>
      <c r="U8" s="73">
        <f t="shared" ref="U8" si="2">(K8*$K$5+L8*$L$5+M8*$M$5+N8*$N$5+O8*$O$5+P8*$P$5+Q8*$Q$5+S8*$S$5+R8*$R$5)*$F8</f>
        <v>305600</v>
      </c>
      <c r="V8" s="51">
        <f t="shared" ref="V8:V23" si="3">ROUNDDOWN($U8,-3)</f>
        <v>305000</v>
      </c>
    </row>
    <row r="9" spans="1:22" s="19" customFormat="1" ht="30" customHeight="1" x14ac:dyDescent="0.3">
      <c r="A9" s="21">
        <f t="shared" si="0"/>
        <v>3</v>
      </c>
      <c r="B9" s="78" t="s">
        <v>48</v>
      </c>
      <c r="C9" s="78" t="s">
        <v>49</v>
      </c>
      <c r="D9" s="77" t="s">
        <v>50</v>
      </c>
      <c r="E9" s="26"/>
      <c r="F9" s="22">
        <v>1</v>
      </c>
      <c r="G9" s="81" t="s">
        <v>44</v>
      </c>
      <c r="H9" s="48">
        <v>25.4</v>
      </c>
      <c r="I9" s="49">
        <v>180</v>
      </c>
      <c r="J9" s="50">
        <v>350</v>
      </c>
      <c r="K9" s="23">
        <v>3.5</v>
      </c>
      <c r="L9" s="23"/>
      <c r="M9" s="23">
        <v>0.5</v>
      </c>
      <c r="N9" s="23"/>
      <c r="O9" s="23"/>
      <c r="P9" s="23">
        <v>1</v>
      </c>
      <c r="Q9" s="23">
        <v>2</v>
      </c>
      <c r="R9" s="23"/>
      <c r="S9" s="23">
        <v>2</v>
      </c>
      <c r="T9" s="75">
        <f t="shared" si="1"/>
        <v>9</v>
      </c>
      <c r="U9" s="73">
        <f t="shared" ref="U9:U13" si="4">(K9*$K$5+L9*$L$5+M9*$M$5+N9*$N$5+O9*$O$5+P9*$P$5+Q9*$Q$5+S9*$S$5+R9*$R$5)*$F9</f>
        <v>410600</v>
      </c>
      <c r="V9" s="51">
        <f t="shared" si="3"/>
        <v>410000</v>
      </c>
    </row>
    <row r="10" spans="1:22" s="19" customFormat="1" ht="30" customHeight="1" x14ac:dyDescent="0.3">
      <c r="A10" s="21">
        <f t="shared" si="0"/>
        <v>4</v>
      </c>
      <c r="B10" s="78" t="s">
        <v>51</v>
      </c>
      <c r="C10" s="78" t="s">
        <v>52</v>
      </c>
      <c r="D10" s="77" t="s">
        <v>45</v>
      </c>
      <c r="E10" s="26"/>
      <c r="F10" s="22">
        <v>1</v>
      </c>
      <c r="G10" s="81" t="s">
        <v>44</v>
      </c>
      <c r="H10" s="48">
        <v>50</v>
      </c>
      <c r="I10" s="49">
        <v>380</v>
      </c>
      <c r="J10" s="50">
        <v>700</v>
      </c>
      <c r="K10" s="23">
        <v>5</v>
      </c>
      <c r="L10" s="23"/>
      <c r="M10" s="23">
        <v>1</v>
      </c>
      <c r="N10" s="23"/>
      <c r="O10" s="23"/>
      <c r="P10" s="23">
        <v>2</v>
      </c>
      <c r="Q10" s="23">
        <v>2</v>
      </c>
      <c r="R10" s="23"/>
      <c r="S10" s="23">
        <v>3</v>
      </c>
      <c r="T10" s="75">
        <f t="shared" si="1"/>
        <v>13</v>
      </c>
      <c r="U10" s="73">
        <f t="shared" si="4"/>
        <v>586200</v>
      </c>
      <c r="V10" s="51">
        <f t="shared" si="3"/>
        <v>586000</v>
      </c>
    </row>
    <row r="11" spans="1:22" s="19" customFormat="1" ht="30" customHeight="1" x14ac:dyDescent="0.3">
      <c r="A11" s="21">
        <f t="shared" si="0"/>
        <v>5</v>
      </c>
      <c r="B11" s="78" t="s">
        <v>53</v>
      </c>
      <c r="C11" s="78" t="s">
        <v>54</v>
      </c>
      <c r="D11" s="77" t="s">
        <v>45</v>
      </c>
      <c r="E11" s="26"/>
      <c r="F11" s="22">
        <v>1</v>
      </c>
      <c r="G11" s="81" t="s">
        <v>55</v>
      </c>
      <c r="H11" s="48">
        <v>30</v>
      </c>
      <c r="I11" s="49">
        <v>195</v>
      </c>
      <c r="J11" s="50">
        <v>370</v>
      </c>
      <c r="K11" s="23">
        <v>4</v>
      </c>
      <c r="L11" s="23"/>
      <c r="M11" s="23">
        <v>1</v>
      </c>
      <c r="N11" s="23"/>
      <c r="O11" s="23">
        <v>1</v>
      </c>
      <c r="P11" s="23">
        <v>2</v>
      </c>
      <c r="Q11" s="23">
        <v>2</v>
      </c>
      <c r="R11" s="23"/>
      <c r="S11" s="23">
        <v>3</v>
      </c>
      <c r="T11" s="75">
        <f t="shared" si="1"/>
        <v>13</v>
      </c>
      <c r="U11" s="73">
        <f t="shared" si="4"/>
        <v>536200</v>
      </c>
      <c r="V11" s="51">
        <f t="shared" si="3"/>
        <v>536000</v>
      </c>
    </row>
    <row r="12" spans="1:22" s="19" customFormat="1" ht="30" customHeight="1" x14ac:dyDescent="0.3">
      <c r="A12" s="21">
        <f t="shared" si="0"/>
        <v>6</v>
      </c>
      <c r="B12" s="78" t="s">
        <v>56</v>
      </c>
      <c r="C12" s="78" t="s">
        <v>57</v>
      </c>
      <c r="D12" s="77" t="s">
        <v>58</v>
      </c>
      <c r="E12" s="26"/>
      <c r="F12" s="22">
        <v>1</v>
      </c>
      <c r="G12" s="81" t="s">
        <v>55</v>
      </c>
      <c r="H12" s="48">
        <v>30</v>
      </c>
      <c r="I12" s="49">
        <v>150</v>
      </c>
      <c r="J12" s="50">
        <v>150</v>
      </c>
      <c r="K12" s="23"/>
      <c r="L12" s="23"/>
      <c r="M12" s="23">
        <v>5</v>
      </c>
      <c r="N12" s="23"/>
      <c r="O12" s="23">
        <v>1</v>
      </c>
      <c r="P12" s="23">
        <v>1</v>
      </c>
      <c r="Q12" s="23">
        <v>2</v>
      </c>
      <c r="R12" s="23"/>
      <c r="S12" s="23">
        <v>1</v>
      </c>
      <c r="T12" s="75">
        <f t="shared" si="1"/>
        <v>10</v>
      </c>
      <c r="U12" s="73">
        <f t="shared" si="4"/>
        <v>330600</v>
      </c>
      <c r="V12" s="51">
        <f t="shared" si="3"/>
        <v>330000</v>
      </c>
    </row>
    <row r="13" spans="1:22" s="19" customFormat="1" ht="30" customHeight="1" x14ac:dyDescent="0.3">
      <c r="A13" s="21">
        <f t="shared" si="0"/>
        <v>7</v>
      </c>
      <c r="B13" s="78" t="s">
        <v>59</v>
      </c>
      <c r="C13" s="78" t="s">
        <v>60</v>
      </c>
      <c r="D13" s="77" t="s">
        <v>45</v>
      </c>
      <c r="E13" s="26"/>
      <c r="F13" s="22">
        <v>1</v>
      </c>
      <c r="G13" s="81" t="s">
        <v>55</v>
      </c>
      <c r="H13" s="48">
        <v>110</v>
      </c>
      <c r="I13" s="49">
        <v>185</v>
      </c>
      <c r="J13" s="50">
        <v>430</v>
      </c>
      <c r="K13" s="23">
        <v>5</v>
      </c>
      <c r="L13" s="23"/>
      <c r="M13" s="23">
        <v>15</v>
      </c>
      <c r="N13" s="23"/>
      <c r="O13" s="23">
        <v>2</v>
      </c>
      <c r="P13" s="23">
        <v>2</v>
      </c>
      <c r="Q13" s="23">
        <v>4</v>
      </c>
      <c r="R13" s="23"/>
      <c r="S13" s="23">
        <v>5</v>
      </c>
      <c r="T13" s="75">
        <f t="shared" si="1"/>
        <v>33</v>
      </c>
      <c r="U13" s="73">
        <f t="shared" si="4"/>
        <v>1316200</v>
      </c>
      <c r="V13" s="51">
        <f t="shared" si="3"/>
        <v>1316000</v>
      </c>
    </row>
    <row r="14" spans="1:22" s="19" customFormat="1" ht="30" customHeight="1" x14ac:dyDescent="0.3">
      <c r="A14" s="21">
        <f t="shared" si="0"/>
        <v>8</v>
      </c>
      <c r="B14" s="78" t="s">
        <v>61</v>
      </c>
      <c r="C14" s="78" t="s">
        <v>62</v>
      </c>
      <c r="D14" s="77" t="s">
        <v>65</v>
      </c>
      <c r="E14" s="26"/>
      <c r="F14" s="22">
        <v>1</v>
      </c>
      <c r="G14" s="81" t="s">
        <v>55</v>
      </c>
      <c r="H14" s="48">
        <v>30</v>
      </c>
      <c r="I14" s="49">
        <v>150</v>
      </c>
      <c r="J14" s="50">
        <v>150</v>
      </c>
      <c r="K14" s="23">
        <v>2.5</v>
      </c>
      <c r="L14" s="23">
        <v>5</v>
      </c>
      <c r="M14" s="23"/>
      <c r="N14" s="23"/>
      <c r="O14" s="23">
        <v>0.5</v>
      </c>
      <c r="P14" s="23">
        <v>1.5</v>
      </c>
      <c r="Q14" s="23">
        <v>2</v>
      </c>
      <c r="R14" s="23"/>
      <c r="S14" s="23">
        <v>2</v>
      </c>
      <c r="T14" s="75">
        <f t="shared" si="1"/>
        <v>13.5</v>
      </c>
      <c r="U14" s="73">
        <f t="shared" ref="U14:U23" si="5">(K14*$K$5+L14*$L$5+M14*$M$5+N14*$N$5+O14*$O$5+P14*$P$5+Q14*$Q$5+S14*$S$5+R14*$R$5)*$F14</f>
        <v>588400</v>
      </c>
      <c r="V14" s="51">
        <f t="shared" si="3"/>
        <v>588000</v>
      </c>
    </row>
    <row r="15" spans="1:22" s="19" customFormat="1" ht="30" customHeight="1" x14ac:dyDescent="0.3">
      <c r="A15" s="21">
        <f t="shared" si="0"/>
        <v>9</v>
      </c>
      <c r="B15" s="78" t="s">
        <v>63</v>
      </c>
      <c r="C15" s="78" t="s">
        <v>64</v>
      </c>
      <c r="D15" s="77" t="s">
        <v>65</v>
      </c>
      <c r="E15" s="26"/>
      <c r="F15" s="22">
        <v>1</v>
      </c>
      <c r="G15" s="81" t="s">
        <v>55</v>
      </c>
      <c r="H15" s="48">
        <v>15</v>
      </c>
      <c r="I15" s="49">
        <v>110</v>
      </c>
      <c r="J15" s="50">
        <v>125</v>
      </c>
      <c r="K15" s="23">
        <v>1.5</v>
      </c>
      <c r="L15" s="23">
        <v>3</v>
      </c>
      <c r="M15" s="23"/>
      <c r="N15" s="23"/>
      <c r="O15" s="23">
        <v>0.5</v>
      </c>
      <c r="P15" s="23">
        <v>1.5</v>
      </c>
      <c r="Q15" s="23">
        <v>2</v>
      </c>
      <c r="R15" s="23"/>
      <c r="S15" s="23">
        <v>2</v>
      </c>
      <c r="T15" s="75">
        <f t="shared" si="1"/>
        <v>10.5</v>
      </c>
      <c r="U15" s="73">
        <f t="shared" si="5"/>
        <v>418400</v>
      </c>
      <c r="V15" s="51">
        <f t="shared" si="3"/>
        <v>418000</v>
      </c>
    </row>
    <row r="16" spans="1:22" s="19" customFormat="1" ht="30" customHeight="1" x14ac:dyDescent="0.3">
      <c r="A16" s="21">
        <f t="shared" si="0"/>
        <v>10</v>
      </c>
      <c r="B16" s="78" t="s">
        <v>66</v>
      </c>
      <c r="C16" s="78" t="s">
        <v>67</v>
      </c>
      <c r="D16" s="77" t="s">
        <v>68</v>
      </c>
      <c r="E16" s="26" t="s">
        <v>71</v>
      </c>
      <c r="F16" s="22">
        <v>1</v>
      </c>
      <c r="G16" s="81" t="s">
        <v>55</v>
      </c>
      <c r="H16" s="48">
        <v>40</v>
      </c>
      <c r="I16" s="49">
        <v>70</v>
      </c>
      <c r="J16" s="50">
        <v>160</v>
      </c>
      <c r="K16" s="23">
        <v>3.5</v>
      </c>
      <c r="L16" s="23"/>
      <c r="M16" s="23">
        <v>0.5</v>
      </c>
      <c r="N16" s="23"/>
      <c r="O16" s="23">
        <v>0.5</v>
      </c>
      <c r="P16" s="23">
        <v>1</v>
      </c>
      <c r="Q16" s="23">
        <v>2</v>
      </c>
      <c r="R16" s="23"/>
      <c r="S16" s="23">
        <v>1</v>
      </c>
      <c r="T16" s="75">
        <f t="shared" si="1"/>
        <v>8.5</v>
      </c>
      <c r="U16" s="73">
        <f t="shared" si="5"/>
        <v>385600</v>
      </c>
      <c r="V16" s="51">
        <f t="shared" si="3"/>
        <v>385000</v>
      </c>
    </row>
    <row r="17" spans="1:22" s="19" customFormat="1" ht="30" customHeight="1" x14ac:dyDescent="0.3">
      <c r="A17" s="21">
        <f t="shared" si="0"/>
        <v>11</v>
      </c>
      <c r="B17" s="78" t="s">
        <v>69</v>
      </c>
      <c r="C17" s="78" t="s">
        <v>70</v>
      </c>
      <c r="D17" s="77" t="s">
        <v>68</v>
      </c>
      <c r="E17" s="26" t="s">
        <v>71</v>
      </c>
      <c r="F17" s="22">
        <v>1</v>
      </c>
      <c r="G17" s="81" t="s">
        <v>55</v>
      </c>
      <c r="H17" s="48">
        <v>50</v>
      </c>
      <c r="I17" s="49">
        <v>70</v>
      </c>
      <c r="J17" s="50">
        <v>160</v>
      </c>
      <c r="K17" s="23">
        <v>4</v>
      </c>
      <c r="L17" s="23"/>
      <c r="M17" s="23">
        <v>0.5</v>
      </c>
      <c r="N17" s="23"/>
      <c r="O17" s="23">
        <v>0.5</v>
      </c>
      <c r="P17" s="23">
        <v>1</v>
      </c>
      <c r="Q17" s="23">
        <v>2</v>
      </c>
      <c r="R17" s="23"/>
      <c r="S17" s="23">
        <v>1</v>
      </c>
      <c r="T17" s="75">
        <f t="shared" si="1"/>
        <v>9</v>
      </c>
      <c r="U17" s="73">
        <f t="shared" si="5"/>
        <v>420600</v>
      </c>
      <c r="V17" s="51">
        <f t="shared" si="3"/>
        <v>420000</v>
      </c>
    </row>
    <row r="18" spans="1:22" s="19" customFormat="1" ht="30" customHeight="1" x14ac:dyDescent="0.3">
      <c r="A18" s="21">
        <f t="shared" si="0"/>
        <v>12</v>
      </c>
      <c r="B18" s="78" t="s">
        <v>72</v>
      </c>
      <c r="C18" s="78" t="s">
        <v>73</v>
      </c>
      <c r="D18" s="77" t="s">
        <v>74</v>
      </c>
      <c r="E18" s="26"/>
      <c r="F18" s="22">
        <v>1</v>
      </c>
      <c r="G18" s="81" t="s">
        <v>55</v>
      </c>
      <c r="H18" s="48">
        <v>15</v>
      </c>
      <c r="I18" s="49">
        <v>46</v>
      </c>
      <c r="J18" s="50">
        <v>310</v>
      </c>
      <c r="K18" s="23">
        <v>2.5</v>
      </c>
      <c r="L18" s="23"/>
      <c r="M18" s="23">
        <v>0.5</v>
      </c>
      <c r="N18" s="23"/>
      <c r="O18" s="23">
        <v>0.5</v>
      </c>
      <c r="P18" s="23">
        <v>1</v>
      </c>
      <c r="Q18" s="23">
        <v>2</v>
      </c>
      <c r="R18" s="23"/>
      <c r="S18" s="23">
        <v>2</v>
      </c>
      <c r="T18" s="75">
        <f t="shared" si="1"/>
        <v>8.5</v>
      </c>
      <c r="U18" s="73">
        <f t="shared" si="5"/>
        <v>350600</v>
      </c>
      <c r="V18" s="51">
        <f t="shared" si="3"/>
        <v>350000</v>
      </c>
    </row>
    <row r="19" spans="1:22" s="19" customFormat="1" ht="30" customHeight="1" x14ac:dyDescent="0.3">
      <c r="A19" s="21">
        <f t="shared" si="0"/>
        <v>13</v>
      </c>
      <c r="B19" s="78" t="s">
        <v>75</v>
      </c>
      <c r="C19" s="78" t="s">
        <v>76</v>
      </c>
      <c r="D19" s="77" t="s">
        <v>74</v>
      </c>
      <c r="E19" s="26"/>
      <c r="F19" s="22">
        <v>1</v>
      </c>
      <c r="G19" s="81" t="s">
        <v>55</v>
      </c>
      <c r="H19" s="48">
        <v>15</v>
      </c>
      <c r="I19" s="49">
        <v>46</v>
      </c>
      <c r="J19" s="50">
        <v>310</v>
      </c>
      <c r="K19" s="23">
        <v>2.5</v>
      </c>
      <c r="L19" s="23"/>
      <c r="M19" s="23">
        <v>0.5</v>
      </c>
      <c r="N19" s="23"/>
      <c r="O19" s="23">
        <v>0.5</v>
      </c>
      <c r="P19" s="23">
        <v>1</v>
      </c>
      <c r="Q19" s="23">
        <v>2</v>
      </c>
      <c r="R19" s="23"/>
      <c r="S19" s="23">
        <v>2</v>
      </c>
      <c r="T19" s="75">
        <f t="shared" si="1"/>
        <v>8.5</v>
      </c>
      <c r="U19" s="73">
        <f t="shared" si="5"/>
        <v>350600</v>
      </c>
      <c r="V19" s="51">
        <f t="shared" si="3"/>
        <v>350000</v>
      </c>
    </row>
    <row r="20" spans="1:22" s="19" customFormat="1" ht="30" customHeight="1" x14ac:dyDescent="0.3">
      <c r="A20" s="21">
        <f t="shared" si="0"/>
        <v>14</v>
      </c>
      <c r="B20" s="78" t="s">
        <v>77</v>
      </c>
      <c r="C20" s="78" t="s">
        <v>78</v>
      </c>
      <c r="D20" s="77" t="s">
        <v>79</v>
      </c>
      <c r="E20" s="26" t="s">
        <v>80</v>
      </c>
      <c r="F20" s="22">
        <v>1</v>
      </c>
      <c r="G20" s="81" t="s">
        <v>55</v>
      </c>
      <c r="H20" s="48"/>
      <c r="I20" s="49"/>
      <c r="J20" s="50"/>
      <c r="K20" s="23"/>
      <c r="L20" s="23"/>
      <c r="M20" s="23"/>
      <c r="N20" s="23"/>
      <c r="O20" s="23"/>
      <c r="P20" s="23"/>
      <c r="Q20" s="23"/>
      <c r="R20" s="23"/>
      <c r="S20" s="23"/>
      <c r="T20" s="75">
        <f t="shared" si="1"/>
        <v>0</v>
      </c>
      <c r="U20" s="73">
        <f t="shared" si="5"/>
        <v>0</v>
      </c>
      <c r="V20" s="51">
        <f t="shared" si="3"/>
        <v>0</v>
      </c>
    </row>
    <row r="21" spans="1:22" s="19" customFormat="1" ht="30" customHeight="1" x14ac:dyDescent="0.3">
      <c r="A21" s="21">
        <f t="shared" si="0"/>
        <v>15</v>
      </c>
      <c r="B21" s="78" t="s">
        <v>81</v>
      </c>
      <c r="C21" s="78" t="s">
        <v>82</v>
      </c>
      <c r="D21" s="77" t="s">
        <v>79</v>
      </c>
      <c r="E21" s="26" t="s">
        <v>80</v>
      </c>
      <c r="F21" s="22">
        <v>1</v>
      </c>
      <c r="G21" s="81" t="s">
        <v>55</v>
      </c>
      <c r="H21" s="48"/>
      <c r="I21" s="49"/>
      <c r="J21" s="50"/>
      <c r="K21" s="23"/>
      <c r="L21" s="23"/>
      <c r="M21" s="23"/>
      <c r="N21" s="23"/>
      <c r="O21" s="23"/>
      <c r="P21" s="23"/>
      <c r="Q21" s="23"/>
      <c r="R21" s="23"/>
      <c r="S21" s="23"/>
      <c r="T21" s="75">
        <f t="shared" si="1"/>
        <v>0</v>
      </c>
      <c r="U21" s="73">
        <f t="shared" si="5"/>
        <v>0</v>
      </c>
      <c r="V21" s="51">
        <f t="shared" si="3"/>
        <v>0</v>
      </c>
    </row>
    <row r="22" spans="1:22" s="19" customFormat="1" ht="30" customHeight="1" x14ac:dyDescent="0.3">
      <c r="A22" s="21">
        <f t="shared" si="0"/>
        <v>16</v>
      </c>
      <c r="B22" s="78" t="s">
        <v>83</v>
      </c>
      <c r="C22" s="78" t="s">
        <v>84</v>
      </c>
      <c r="D22" s="77" t="s">
        <v>45</v>
      </c>
      <c r="E22" s="77" t="s">
        <v>85</v>
      </c>
      <c r="F22" s="22">
        <v>1</v>
      </c>
      <c r="G22" s="81" t="s">
        <v>55</v>
      </c>
      <c r="H22" s="48">
        <v>360</v>
      </c>
      <c r="I22" s="49"/>
      <c r="J22" s="50">
        <v>60</v>
      </c>
      <c r="K22" s="23">
        <v>1</v>
      </c>
      <c r="L22" s="23"/>
      <c r="M22" s="23"/>
      <c r="N22" s="23">
        <v>5</v>
      </c>
      <c r="O22" s="23">
        <v>1</v>
      </c>
      <c r="P22" s="23">
        <v>2</v>
      </c>
      <c r="Q22" s="23">
        <v>3</v>
      </c>
      <c r="R22" s="23"/>
      <c r="S22" s="23">
        <v>3</v>
      </c>
      <c r="T22" s="75">
        <f t="shared" si="1"/>
        <v>15</v>
      </c>
      <c r="U22" s="73">
        <f t="shared" si="5"/>
        <v>491200</v>
      </c>
      <c r="V22" s="51">
        <f t="shared" si="3"/>
        <v>491000</v>
      </c>
    </row>
    <row r="23" spans="1:22" s="19" customFormat="1" ht="30" customHeight="1" x14ac:dyDescent="0.3">
      <c r="A23" s="21">
        <f t="shared" si="0"/>
        <v>17</v>
      </c>
      <c r="B23" s="78" t="s">
        <v>86</v>
      </c>
      <c r="C23" s="78" t="s">
        <v>86</v>
      </c>
      <c r="D23" s="77" t="s">
        <v>87</v>
      </c>
      <c r="E23" s="26"/>
      <c r="F23" s="22">
        <v>1</v>
      </c>
      <c r="G23" s="81" t="s">
        <v>55</v>
      </c>
      <c r="H23" s="48">
        <v>360</v>
      </c>
      <c r="I23" s="49"/>
      <c r="J23" s="50">
        <v>50</v>
      </c>
      <c r="K23" s="23">
        <v>8</v>
      </c>
      <c r="L23" s="23"/>
      <c r="M23" s="23">
        <v>1</v>
      </c>
      <c r="N23" s="23"/>
      <c r="O23" s="23">
        <v>0.5</v>
      </c>
      <c r="P23" s="23">
        <v>2</v>
      </c>
      <c r="Q23" s="23">
        <v>3</v>
      </c>
      <c r="R23" s="23"/>
      <c r="S23" s="23">
        <v>4</v>
      </c>
      <c r="T23" s="75">
        <f t="shared" si="1"/>
        <v>18.5</v>
      </c>
      <c r="U23" s="73">
        <f t="shared" si="5"/>
        <v>871200</v>
      </c>
      <c r="V23" s="51">
        <f t="shared" si="3"/>
        <v>871000</v>
      </c>
    </row>
    <row r="24" spans="1:22" s="19" customFormat="1" ht="30" customHeight="1" x14ac:dyDescent="0.3">
      <c r="A24" s="21">
        <f t="shared" si="0"/>
        <v>18</v>
      </c>
      <c r="B24" s="78" t="s">
        <v>88</v>
      </c>
      <c r="C24" s="78" t="s">
        <v>89</v>
      </c>
      <c r="D24" s="77" t="s">
        <v>45</v>
      </c>
      <c r="E24" s="77" t="s">
        <v>85</v>
      </c>
      <c r="F24" s="22">
        <v>1</v>
      </c>
      <c r="G24" s="81" t="s">
        <v>55</v>
      </c>
      <c r="H24" s="48">
        <v>360</v>
      </c>
      <c r="I24" s="49"/>
      <c r="J24" s="50">
        <v>60</v>
      </c>
      <c r="K24" s="23">
        <v>1</v>
      </c>
      <c r="L24" s="23"/>
      <c r="M24" s="23"/>
      <c r="N24" s="23">
        <v>5</v>
      </c>
      <c r="O24" s="23">
        <v>1</v>
      </c>
      <c r="P24" s="23">
        <v>2</v>
      </c>
      <c r="Q24" s="23">
        <v>3</v>
      </c>
      <c r="R24" s="23"/>
      <c r="S24" s="23">
        <v>3</v>
      </c>
      <c r="T24" s="75">
        <f>SUM($K24:$S24)</f>
        <v>15</v>
      </c>
      <c r="U24" s="73">
        <f>(K24*$K$5+L24*$L$5+M24*$M$5+N24*$N$5+O24*$O$5+P24*$P$5+Q24*$Q$5+S24*$S$5+R24*$R$5)*$F24</f>
        <v>491200</v>
      </c>
      <c r="V24" s="51">
        <f>ROUNDDOWN($U24,-3)</f>
        <v>491000</v>
      </c>
    </row>
    <row r="25" spans="1:22" s="19" customFormat="1" ht="30" customHeight="1" x14ac:dyDescent="0.3">
      <c r="A25" s="21">
        <f t="shared" si="0"/>
        <v>19</v>
      </c>
      <c r="B25" s="78" t="s">
        <v>90</v>
      </c>
      <c r="C25" s="78" t="s">
        <v>90</v>
      </c>
      <c r="D25" s="77" t="s">
        <v>87</v>
      </c>
      <c r="E25" s="26"/>
      <c r="F25" s="22">
        <v>1</v>
      </c>
      <c r="G25" s="81" t="s">
        <v>55</v>
      </c>
      <c r="H25" s="48">
        <v>360</v>
      </c>
      <c r="I25" s="49"/>
      <c r="J25" s="50">
        <v>50</v>
      </c>
      <c r="K25" s="23">
        <v>8</v>
      </c>
      <c r="L25" s="23"/>
      <c r="M25" s="23">
        <v>1</v>
      </c>
      <c r="N25" s="23"/>
      <c r="O25" s="23">
        <v>0.5</v>
      </c>
      <c r="P25" s="23">
        <v>2</v>
      </c>
      <c r="Q25" s="23">
        <v>3</v>
      </c>
      <c r="R25" s="23"/>
      <c r="S25" s="23">
        <v>4</v>
      </c>
      <c r="T25" s="75">
        <f>SUM($K25:$S25)</f>
        <v>18.5</v>
      </c>
      <c r="U25" s="73">
        <f>(K25*$K$5+L25*$L$5+M25*$M$5+N25*$N$5+O25*$O$5+P25*$P$5+Q25*$Q$5+S25*$S$5+R25*$R$5)*$F25</f>
        <v>871200</v>
      </c>
      <c r="V25" s="51">
        <f>ROUNDDOWN($U25,-3)</f>
        <v>871000</v>
      </c>
    </row>
    <row r="26" spans="1:22" s="19" customFormat="1" ht="30" customHeight="1" x14ac:dyDescent="0.3">
      <c r="A26" s="21">
        <f t="shared" si="0"/>
        <v>20</v>
      </c>
      <c r="B26" s="78" t="s">
        <v>92</v>
      </c>
      <c r="C26" s="78" t="s">
        <v>93</v>
      </c>
      <c r="D26" s="77" t="s">
        <v>45</v>
      </c>
      <c r="E26" s="77"/>
      <c r="F26" s="22">
        <v>1</v>
      </c>
      <c r="G26" s="81" t="s">
        <v>44</v>
      </c>
      <c r="H26" s="48">
        <v>310</v>
      </c>
      <c r="I26" s="49"/>
      <c r="J26" s="50">
        <v>25.4</v>
      </c>
      <c r="K26" s="23">
        <v>4</v>
      </c>
      <c r="L26" s="23"/>
      <c r="M26" s="23"/>
      <c r="N26" s="23">
        <v>0</v>
      </c>
      <c r="O26" s="23">
        <v>0.5</v>
      </c>
      <c r="P26" s="23">
        <v>2</v>
      </c>
      <c r="Q26" s="23">
        <v>2</v>
      </c>
      <c r="R26" s="23"/>
      <c r="S26" s="23">
        <v>2</v>
      </c>
      <c r="T26" s="75">
        <f>SUM($K26:$S26)</f>
        <v>10.5</v>
      </c>
      <c r="U26" s="73">
        <f>(K26*$K$5+L26*$L$5+M26*$M$5+N26*$N$5+O26*$O$5+P26*$P$5+Q26*$Q$5+S26*$S$5+R26*$R$5)*$F26</f>
        <v>451200</v>
      </c>
      <c r="V26" s="51">
        <f>ROUNDDOWN($U26,-3)</f>
        <v>451000</v>
      </c>
    </row>
    <row r="27" spans="1:22" s="19" customFormat="1" ht="30" customHeight="1" thickBot="1" x14ac:dyDescent="0.35">
      <c r="A27" s="41"/>
      <c r="B27" s="79"/>
      <c r="C27" s="80"/>
      <c r="D27" s="39"/>
      <c r="E27" s="42"/>
      <c r="F27" s="42"/>
      <c r="G27" s="43"/>
      <c r="H27" s="44"/>
      <c r="I27" s="45"/>
      <c r="J27" s="46"/>
      <c r="K27" s="40"/>
      <c r="L27" s="40"/>
      <c r="M27" s="40"/>
      <c r="N27" s="40"/>
      <c r="O27" s="40"/>
      <c r="P27" s="40"/>
      <c r="Q27" s="40"/>
      <c r="R27" s="40"/>
      <c r="S27" s="40"/>
      <c r="T27" s="76"/>
      <c r="U27" s="74" t="s">
        <v>37</v>
      </c>
      <c r="V27" s="47">
        <f>SUM(V7:V25)</f>
        <v>9113000</v>
      </c>
    </row>
    <row r="28" spans="1:22" ht="15.75" customHeight="1" x14ac:dyDescent="0.3">
      <c r="A28" s="13"/>
      <c r="B28" s="14"/>
      <c r="C28" s="14"/>
      <c r="D28" s="14"/>
      <c r="E28" s="14"/>
      <c r="F28" s="14"/>
      <c r="G28" s="14"/>
      <c r="H28" s="30"/>
      <c r="I28" s="34"/>
      <c r="J28" s="38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  <c r="V28" s="16"/>
    </row>
    <row r="30" spans="1:22" ht="26.25" x14ac:dyDescent="0.5">
      <c r="P30" s="97" t="s">
        <v>19</v>
      </c>
      <c r="Q30" s="97"/>
      <c r="R30" s="97"/>
      <c r="S30" s="97"/>
      <c r="T30" s="97"/>
      <c r="U30" s="97"/>
      <c r="V30" s="97"/>
    </row>
    <row r="31" spans="1:22" ht="26.25" x14ac:dyDescent="0.5">
      <c r="C31" s="102" t="s">
        <v>91</v>
      </c>
      <c r="D31" s="103"/>
      <c r="E31" s="103"/>
      <c r="F31" s="103"/>
      <c r="G31" s="103"/>
      <c r="H31" s="103"/>
      <c r="I31" s="103"/>
      <c r="J31" s="103"/>
      <c r="K31" s="103"/>
      <c r="P31" s="98">
        <v>46178</v>
      </c>
      <c r="Q31" s="98"/>
      <c r="R31" s="98"/>
      <c r="S31" s="98"/>
      <c r="T31" s="98"/>
      <c r="U31" s="98"/>
      <c r="V31" s="98"/>
    </row>
    <row r="32" spans="1:22" ht="26.25" x14ac:dyDescent="0.5">
      <c r="C32" s="103"/>
      <c r="D32" s="103"/>
      <c r="E32" s="103"/>
      <c r="F32" s="103"/>
      <c r="G32" s="103"/>
      <c r="H32" s="103"/>
      <c r="I32" s="103"/>
      <c r="J32" s="103"/>
      <c r="K32" s="103"/>
      <c r="P32" s="97" t="s">
        <v>20</v>
      </c>
      <c r="Q32" s="97"/>
      <c r="R32" s="97"/>
      <c r="S32" s="97"/>
      <c r="T32" s="97"/>
      <c r="U32" s="97"/>
      <c r="V32" s="97"/>
    </row>
    <row r="40" spans="18:18" x14ac:dyDescent="0.3">
      <c r="R40" s="17"/>
    </row>
    <row r="52" spans="16:22" ht="16.5" x14ac:dyDescent="0.3">
      <c r="P52" s="18"/>
      <c r="V52" s="18"/>
    </row>
  </sheetData>
  <mergeCells count="5">
    <mergeCell ref="P30:V30"/>
    <mergeCell ref="P31:V31"/>
    <mergeCell ref="P32:V32"/>
    <mergeCell ref="H6:J6"/>
    <mergeCell ref="C31:K32"/>
  </mergeCells>
  <phoneticPr fontId="1" type="noConversion"/>
  <conditionalFormatting sqref="B7:B27">
    <cfRule type="duplicateValues" dxfId="1" priority="28"/>
  </conditionalFormatting>
  <conditionalFormatting sqref="C7:C26">
    <cfRule type="duplicateValues" dxfId="0" priority="36"/>
  </conditionalFormatting>
  <pageMargins left="0.19685039370078741" right="0.19685039370078741" top="0.59055118110236227" bottom="0.43307086614173229" header="0.51181102362204722" footer="0.35433070866141736"/>
  <pageSetup paperSize="9" scale="5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2026-06-02T06:41:36Z</cp:lastPrinted>
  <dcterms:created xsi:type="dcterms:W3CDTF">2019-03-03T23:00:53Z</dcterms:created>
  <dcterms:modified xsi:type="dcterms:W3CDTF">2026-06-10T06:04:42Z</dcterms:modified>
</cp:coreProperties>
</file>