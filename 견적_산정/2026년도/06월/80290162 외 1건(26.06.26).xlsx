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bookViews>
    <workbookView xWindow="0" yWindow="0" windowWidth="28800" windowHeight="14235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기계!$A$1:$V$37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0" l="1"/>
  <c r="K11" i="10"/>
  <c r="A11" i="10"/>
  <c r="A10" i="10"/>
  <c r="U9" i="10"/>
  <c r="V9" i="10" s="1"/>
  <c r="T9" i="10"/>
  <c r="A9" i="10"/>
  <c r="A8" i="10"/>
  <c r="E40" i="9" l="1"/>
  <c r="E39" i="9"/>
  <c r="E38" i="9"/>
  <c r="E37" i="9"/>
  <c r="E36" i="9"/>
  <c r="E35" i="9"/>
  <c r="E34" i="9"/>
  <c r="E33" i="9"/>
  <c r="E32" i="9"/>
  <c r="E31" i="9"/>
  <c r="E30" i="9"/>
  <c r="C40" i="9"/>
  <c r="C39" i="9"/>
  <c r="C38" i="9"/>
  <c r="C37" i="9"/>
  <c r="C36" i="9"/>
  <c r="C35" i="9"/>
  <c r="C34" i="9"/>
  <c r="C33" i="9"/>
  <c r="C32" i="9"/>
  <c r="C31" i="9"/>
  <c r="C30" i="9"/>
  <c r="B30" i="9"/>
  <c r="B31" i="9"/>
  <c r="B32" i="9"/>
  <c r="B33" i="9"/>
  <c r="B34" i="9"/>
  <c r="B35" i="9"/>
  <c r="B36" i="9"/>
  <c r="B37" i="9"/>
  <c r="B38" i="9"/>
  <c r="B39" i="9"/>
  <c r="U31" i="10"/>
  <c r="V31" i="10" s="1"/>
  <c r="G40" i="9" s="1"/>
  <c r="T31" i="10"/>
  <c r="U23" i="10"/>
  <c r="V23" i="10" s="1"/>
  <c r="G32" i="9" s="1"/>
  <c r="U24" i="10"/>
  <c r="V24" i="10" s="1"/>
  <c r="G33" i="9" s="1"/>
  <c r="U25" i="10"/>
  <c r="V25" i="10" s="1"/>
  <c r="G34" i="9" s="1"/>
  <c r="U26" i="10"/>
  <c r="V26" i="10" s="1"/>
  <c r="G35" i="9" s="1"/>
  <c r="U27" i="10"/>
  <c r="V27" i="10" s="1"/>
  <c r="G36" i="9" s="1"/>
  <c r="U28" i="10"/>
  <c r="V28" i="10" s="1"/>
  <c r="G37" i="9" s="1"/>
  <c r="U29" i="10"/>
  <c r="V29" i="10" s="1"/>
  <c r="G38" i="9" s="1"/>
  <c r="U30" i="10"/>
  <c r="V30" i="10" s="1"/>
  <c r="G39" i="9" s="1"/>
  <c r="T30" i="10"/>
  <c r="T29" i="10"/>
  <c r="T28" i="10"/>
  <c r="T27" i="10"/>
  <c r="T26" i="10"/>
  <c r="T25" i="10"/>
  <c r="T24" i="10"/>
  <c r="T23" i="10"/>
  <c r="U22" i="10"/>
  <c r="V22" i="10" s="1"/>
  <c r="G31" i="9" s="1"/>
  <c r="T22" i="10"/>
  <c r="B25" i="9" l="1"/>
  <c r="B26" i="9"/>
  <c r="B27" i="9"/>
  <c r="B28" i="9"/>
  <c r="B29" i="9"/>
  <c r="E29" i="9"/>
  <c r="E28" i="9"/>
  <c r="E27" i="9"/>
  <c r="E26" i="9"/>
  <c r="E25" i="9"/>
  <c r="E24" i="9"/>
  <c r="C29" i="9"/>
  <c r="C28" i="9"/>
  <c r="C27" i="9"/>
  <c r="C26" i="9"/>
  <c r="C25" i="9"/>
  <c r="C24" i="9"/>
  <c r="C23" i="9"/>
  <c r="U20" i="10"/>
  <c r="V20" i="10" s="1"/>
  <c r="G29" i="9" s="1"/>
  <c r="T20" i="10"/>
  <c r="U19" i="10"/>
  <c r="V19" i="10" s="1"/>
  <c r="G28" i="9" s="1"/>
  <c r="T19" i="10"/>
  <c r="U18" i="10"/>
  <c r="V18" i="10" s="1"/>
  <c r="G27" i="9" s="1"/>
  <c r="T18" i="10"/>
  <c r="U17" i="10"/>
  <c r="V17" i="10" s="1"/>
  <c r="G26" i="9" s="1"/>
  <c r="T17" i="10"/>
  <c r="U16" i="10"/>
  <c r="V16" i="10" s="1"/>
  <c r="G25" i="9" s="1"/>
  <c r="T16" i="10"/>
  <c r="U15" i="10"/>
  <c r="V15" i="10" s="1"/>
  <c r="G24" i="9" s="1"/>
  <c r="T15" i="10"/>
  <c r="E22" i="9"/>
  <c r="E23" i="9"/>
  <c r="C22" i="9"/>
  <c r="T21" i="10"/>
  <c r="T14" i="10"/>
  <c r="U21" i="10"/>
  <c r="V21" i="10" s="1"/>
  <c r="G30" i="9" s="1"/>
  <c r="U14" i="10"/>
  <c r="V14" i="10" s="1"/>
  <c r="G23" i="9" s="1"/>
  <c r="U13" i="10"/>
  <c r="V13" i="10" s="1"/>
  <c r="G22" i="9" s="1"/>
  <c r="T13" i="10"/>
  <c r="E21" i="9"/>
  <c r="C21" i="9"/>
  <c r="C20" i="9"/>
  <c r="B24" i="9"/>
  <c r="B23" i="9"/>
  <c r="B22" i="9"/>
  <c r="B21" i="9"/>
  <c r="B20" i="9"/>
  <c r="B19" i="9"/>
  <c r="B18" i="9"/>
  <c r="B17" i="9"/>
  <c r="B16" i="9"/>
  <c r="A7" i="10"/>
  <c r="T12" i="10"/>
  <c r="U12" i="10"/>
  <c r="V12" i="10" s="1"/>
  <c r="G21" i="9" s="1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G18" i="9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32" i="10" l="1"/>
  <c r="G41" i="9" s="1"/>
  <c r="G20" i="9"/>
</calcChain>
</file>

<file path=xl/sharedStrings.xml><?xml version="1.0" encoding="utf-8"?>
<sst xmlns="http://schemas.openxmlformats.org/spreadsheetml/2006/main" count="58" uniqueCount="57">
  <si>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</si>
  <si>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</si>
  <si>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</si>
  <si>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</si>
  <si>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</si>
  <si>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</si>
  <si>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</si>
  <si>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</si>
  <si>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</si>
  <si>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</si>
  <si>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</si>
  <si>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</si>
  <si>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</si>
  <si>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</si>
  <si>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</si>
  <si>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</si>
  <si>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</si>
  <si>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</si>
  <si>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</si>
  <si>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</si>
  <si>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</si>
  <si>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</si>
  <si>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</si>
  <si>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</si>
  <si>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</si>
  <si>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</si>
  <si>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</si>
  <si>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</si>
  <si>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</si>
  <si>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</si>
  <si>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</si>
  <si>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</si>
  <si>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</si>
  <si>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</si>
  <si>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</si>
  <si>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</si>
  <si>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</si>
  <si>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</si>
  <si>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</si>
  <si>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</si>
  <si>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</si>
  <si>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</si>
  <si>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받침, 유도탄용</t>
    <phoneticPr fontId="1" type="noConversion"/>
  </si>
  <si>
    <t>AL6061BE-T6</t>
    <phoneticPr fontId="1" type="noConversion"/>
  </si>
  <si>
    <t>Q85351007</t>
    <phoneticPr fontId="1" type="noConversion"/>
  </si>
  <si>
    <t>조임쇠, 상부용, 현궁용</t>
    <phoneticPr fontId="1" type="noConversion"/>
  </si>
  <si>
    <t>AL6061-T6</t>
    <phoneticPr fontId="1" type="noConversion"/>
  </si>
  <si>
    <t>Q85351009</t>
    <phoneticPr fontId="1" type="noConversion"/>
  </si>
  <si>
    <t>조임쇠, 하부용, 현궁용</t>
    <phoneticPr fontId="1" type="noConversion"/>
  </si>
  <si>
    <t>라쳇 홀더</t>
    <phoneticPr fontId="1" type="noConversion"/>
  </si>
  <si>
    <t>AL7075-T651</t>
    <phoneticPr fontId="1" type="noConversion"/>
  </si>
  <si>
    <t>Q85351013</t>
    <phoneticPr fontId="1" type="noConversion"/>
  </si>
  <si>
    <t>10EA 기준 소재 사이즈</t>
    <phoneticPr fontId="1" type="noConversion"/>
  </si>
  <si>
    <t>A40002863</t>
    <phoneticPr fontId="1" type="noConversion"/>
  </si>
  <si>
    <t>고정판, 흰지용</t>
    <phoneticPr fontId="1" type="noConversion"/>
  </si>
  <si>
    <t>AL6061-T6</t>
    <phoneticPr fontId="1" type="noConversion"/>
  </si>
  <si>
    <t xml:space="preserve">Coment : 3-5 참조용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</si>
</sst>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20" fillId="0" borderId="12" xfId="11" applyFont="1" applyBorder="1" applyAlignment="1">
      <alignment horizontal="center" vertical="center" wrapText="1"/>
    </xf>
    <xf numFmtId="180" fontId="20" fillId="5" borderId="10" xfId="11" applyNumberFormat="1" applyFont="1" applyFill="1" applyBorder="1" applyAlignment="1">
      <alignment horizontal="left" vertical="center" indent="1" shrinkToFit="1"/>
    </xf>
    <xf numFmtId="0" fontId="20" fillId="0" borderId="10" xfId="11" applyFont="1" applyBorder="1" applyAlignment="1">
      <alignment horizontal="left" vertical="center" wrapText="1" indent="1" shrinkToFi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  <xf numFmtId="180" fontId="20" fillId="0" borderId="10" xfId="11" applyNumberFormat="1" applyFont="1" applyFill="1" applyBorder="1" applyAlignment="1">
      <alignment horizontal="left" vertical="center" indent="1" shrinkToFit="1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42"/>
  <sheetViews>
    <sheetView tabSelected="1" topLeftCell="A6" workbookViewId="0">
      <selection activeCell="A21" sqref="A21:XFD40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59" t="s">
        <v>4</v>
      </c>
      <c r="C1" s="60"/>
      <c r="D1" s="60"/>
      <c r="E1" s="60"/>
      <c r="F1" s="60"/>
      <c r="G1" s="60"/>
      <c r="H1" s="60"/>
    </row>
    <row r="2" spans="2:8" ht="27" x14ac:dyDescent="0.3">
      <c r="B2" s="61"/>
      <c r="C2" s="62"/>
      <c r="D2" s="62"/>
      <c r="E2" s="62"/>
      <c r="F2" s="62"/>
      <c r="G2" s="62"/>
      <c r="H2" s="62"/>
    </row>
    <row r="3" spans="2:8" x14ac:dyDescent="0.3">
      <c r="B3" s="63"/>
      <c r="C3" s="63"/>
      <c r="D3" s="63"/>
      <c r="E3" s="63"/>
      <c r="F3" s="64"/>
      <c r="G3" s="65"/>
      <c r="H3" s="65"/>
    </row>
    <row r="4" spans="2:8" ht="39.950000000000003" customHeight="1" x14ac:dyDescent="0.3">
      <c r="B4" s="66" t="s">
        <v>32</v>
      </c>
      <c r="C4" s="67"/>
      <c r="D4" s="67"/>
      <c r="E4" s="67"/>
      <c r="F4" s="68"/>
      <c r="G4" s="68"/>
      <c r="H4" s="68"/>
    </row>
    <row r="5" spans="2:8" ht="21" customHeight="1" x14ac:dyDescent="0.3">
      <c r="B5" s="94" t="s">
        <v>36</v>
      </c>
      <c r="C5" s="94"/>
      <c r="D5" s="94"/>
      <c r="E5" s="94"/>
      <c r="F5" s="69" t="s">
        <v>33</v>
      </c>
      <c r="G5" s="69"/>
      <c r="H5" s="69"/>
    </row>
    <row r="6" spans="2:8" ht="24.75" customHeight="1" x14ac:dyDescent="0.3">
      <c r="B6" s="94" t="s">
        <v>3</v>
      </c>
      <c r="C6" s="94"/>
      <c r="D6" s="94"/>
      <c r="E6" s="94"/>
      <c r="F6" s="69" t="s">
        <v>29</v>
      </c>
      <c r="G6" s="69"/>
      <c r="H6" s="69"/>
    </row>
    <row r="7" spans="2:8" ht="24.75" customHeight="1" x14ac:dyDescent="0.3">
      <c r="B7" s="94" t="s">
        <v>41</v>
      </c>
      <c r="C7" s="94"/>
      <c r="D7" s="94"/>
      <c r="E7" s="94"/>
      <c r="F7" s="95" t="s">
        <v>30</v>
      </c>
      <c r="G7" s="95"/>
      <c r="H7" s="95"/>
    </row>
    <row r="8" spans="2:8" ht="24.75" customHeight="1" x14ac:dyDescent="0.3">
      <c r="B8" s="70" t="s">
        <v>28</v>
      </c>
      <c r="C8" s="69"/>
      <c r="D8" s="69"/>
      <c r="E8" s="69"/>
      <c r="F8" s="69" t="s">
        <v>31</v>
      </c>
      <c r="G8" s="69"/>
      <c r="H8" s="69"/>
    </row>
    <row r="9" spans="2:8" ht="24.75" customHeight="1" x14ac:dyDescent="0.3">
      <c r="B9" s="69" t="s">
        <v>2</v>
      </c>
      <c r="C9" s="69"/>
      <c r="D9" s="69"/>
      <c r="E9" s="69"/>
      <c r="F9" s="69" t="s">
        <v>40</v>
      </c>
      <c r="G9" s="69"/>
      <c r="H9" s="69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3" t="s">
        <v>1</v>
      </c>
      <c r="C15" s="92" t="s">
        <v>34</v>
      </c>
      <c r="D15" s="92"/>
      <c r="E15" s="92" t="s">
        <v>35</v>
      </c>
      <c r="F15" s="98"/>
      <c r="G15" s="96" t="s">
        <v>15</v>
      </c>
      <c r="H15" s="97"/>
    </row>
    <row r="16" spans="2:8" ht="24.75" customHeight="1" x14ac:dyDescent="0.3">
      <c r="B16" s="24">
        <f>ROW()-15</f>
        <v>1</v>
      </c>
      <c r="C16" s="88">
        <f>기계!$B7</f>
        <v>80290162</v>
      </c>
      <c r="D16" s="89"/>
      <c r="E16" s="86" t="str">
        <f>기계!$C7</f>
        <v>받침, 유도탄용</v>
      </c>
      <c r="F16" s="89"/>
      <c r="G16" s="84">
        <f>기계!$V7</f>
        <v>112000</v>
      </c>
      <c r="H16" s="85"/>
    </row>
    <row r="17" spans="2:8" ht="24.75" customHeight="1" x14ac:dyDescent="0.3">
      <c r="B17" s="24">
        <f t="shared" ref="B17:B40" si="0">ROW()-15</f>
        <v>2</v>
      </c>
      <c r="C17" s="88" t="str">
        <f>기계!$B8</f>
        <v>Q85351007</v>
      </c>
      <c r="D17" s="89"/>
      <c r="E17" s="86" t="str">
        <f>기계!$C8</f>
        <v>조임쇠, 상부용, 현궁용</v>
      </c>
      <c r="F17" s="87"/>
      <c r="G17" s="84">
        <f>기계!$V8</f>
        <v>61000</v>
      </c>
      <c r="H17" s="85"/>
    </row>
    <row r="18" spans="2:8" ht="24.75" customHeight="1" x14ac:dyDescent="0.3">
      <c r="B18" s="24">
        <f t="shared" si="0"/>
        <v>3</v>
      </c>
      <c r="C18" s="88" t="str">
        <f>기계!$B9</f>
        <v>Q85351009</v>
      </c>
      <c r="D18" s="89"/>
      <c r="E18" s="86" t="str">
        <f>기계!$C9</f>
        <v>조임쇠, 하부용, 현궁용</v>
      </c>
      <c r="F18" s="87"/>
      <c r="G18" s="84">
        <f>기계!$V9</f>
        <v>110000</v>
      </c>
      <c r="H18" s="85"/>
    </row>
    <row r="19" spans="2:8" ht="24.75" customHeight="1" x14ac:dyDescent="0.3">
      <c r="B19" s="24">
        <f t="shared" si="0"/>
        <v>4</v>
      </c>
      <c r="C19" s="88" t="str">
        <f>기계!$B10</f>
        <v>Q85351013</v>
      </c>
      <c r="D19" s="89"/>
      <c r="E19" s="86" t="str">
        <f>기계!$C10</f>
        <v>라쳇 홀더</v>
      </c>
      <c r="F19" s="87"/>
      <c r="G19" s="84">
        <f>기계!$V10</f>
        <v>24000</v>
      </c>
      <c r="H19" s="85"/>
    </row>
    <row r="20" spans="2:8" ht="24.75" customHeight="1" x14ac:dyDescent="0.3">
      <c r="B20" s="24">
        <f t="shared" si="0"/>
        <v>5</v>
      </c>
      <c r="C20" s="88" t="str">
        <f>기계!$B11</f>
        <v>A40002863</v>
      </c>
      <c r="D20" s="89"/>
      <c r="E20" s="86" t="str">
        <f>기계!$C11</f>
        <v>고정판, 흰지용</v>
      </c>
      <c r="F20" s="87"/>
      <c r="G20" s="84">
        <f>기계!$V11</f>
        <v>17000</v>
      </c>
      <c r="H20" s="85"/>
    </row>
    <row r="21" spans="2:8" ht="24.75" hidden="1" customHeight="1" x14ac:dyDescent="0.3">
      <c r="B21" s="24">
        <f t="shared" si="0"/>
        <v>6</v>
      </c>
      <c r="C21" s="88">
        <f>기계!$B12</f>
        <v>0</v>
      </c>
      <c r="D21" s="89"/>
      <c r="E21" s="86">
        <f>기계!$C12</f>
        <v>0</v>
      </c>
      <c r="F21" s="87"/>
      <c r="G21" s="84">
        <f>기계!$V12</f>
        <v>0</v>
      </c>
      <c r="H21" s="85"/>
    </row>
    <row r="22" spans="2:8" ht="24.75" hidden="1" customHeight="1" x14ac:dyDescent="0.3">
      <c r="B22" s="24">
        <f t="shared" si="0"/>
        <v>7</v>
      </c>
      <c r="C22" s="88">
        <f>기계!$B13</f>
        <v>0</v>
      </c>
      <c r="D22" s="89"/>
      <c r="E22" s="86">
        <f>기계!$C13</f>
        <v>0</v>
      </c>
      <c r="F22" s="87"/>
      <c r="G22" s="84">
        <f>기계!$V13</f>
        <v>0</v>
      </c>
      <c r="H22" s="85"/>
    </row>
    <row r="23" spans="2:8" ht="24.75" hidden="1" customHeight="1" x14ac:dyDescent="0.3">
      <c r="B23" s="24">
        <f t="shared" si="0"/>
        <v>8</v>
      </c>
      <c r="C23" s="88">
        <f>기계!$B14</f>
        <v>0</v>
      </c>
      <c r="D23" s="89"/>
      <c r="E23" s="86">
        <f>기계!$C14</f>
        <v>0</v>
      </c>
      <c r="F23" s="87"/>
      <c r="G23" s="84">
        <f>기계!$V14</f>
        <v>0</v>
      </c>
      <c r="H23" s="85"/>
    </row>
    <row r="24" spans="2:8" ht="24.75" hidden="1" customHeight="1" x14ac:dyDescent="0.3">
      <c r="B24" s="24">
        <f t="shared" si="0"/>
        <v>9</v>
      </c>
      <c r="C24" s="88">
        <f>기계!$B15</f>
        <v>0</v>
      </c>
      <c r="D24" s="89"/>
      <c r="E24" s="86">
        <f>기계!$C15</f>
        <v>0</v>
      </c>
      <c r="F24" s="87"/>
      <c r="G24" s="84">
        <f>기계!$V15</f>
        <v>0</v>
      </c>
      <c r="H24" s="85"/>
    </row>
    <row r="25" spans="2:8" ht="24.75" hidden="1" customHeight="1" x14ac:dyDescent="0.3">
      <c r="B25" s="24">
        <f t="shared" si="0"/>
        <v>10</v>
      </c>
      <c r="C25" s="88">
        <f>기계!$B16</f>
        <v>0</v>
      </c>
      <c r="D25" s="89"/>
      <c r="E25" s="86">
        <f>기계!$C16</f>
        <v>0</v>
      </c>
      <c r="F25" s="87"/>
      <c r="G25" s="84">
        <f>기계!$V16</f>
        <v>0</v>
      </c>
      <c r="H25" s="85"/>
    </row>
    <row r="26" spans="2:8" ht="24.75" hidden="1" customHeight="1" x14ac:dyDescent="0.3">
      <c r="B26" s="24">
        <f t="shared" si="0"/>
        <v>11</v>
      </c>
      <c r="C26" s="88">
        <f>기계!$B17</f>
        <v>0</v>
      </c>
      <c r="D26" s="89"/>
      <c r="E26" s="86">
        <f>기계!$C17</f>
        <v>0</v>
      </c>
      <c r="F26" s="87"/>
      <c r="G26" s="84">
        <f>기계!$V17</f>
        <v>0</v>
      </c>
      <c r="H26" s="85"/>
    </row>
    <row r="27" spans="2:8" ht="24.75" hidden="1" customHeight="1" x14ac:dyDescent="0.3">
      <c r="B27" s="24">
        <f t="shared" si="0"/>
        <v>12</v>
      </c>
      <c r="C27" s="88">
        <f>기계!$B18</f>
        <v>0</v>
      </c>
      <c r="D27" s="89"/>
      <c r="E27" s="86">
        <f>기계!$C18</f>
        <v>0</v>
      </c>
      <c r="F27" s="87"/>
      <c r="G27" s="84">
        <f>기계!$V18</f>
        <v>0</v>
      </c>
      <c r="H27" s="85"/>
    </row>
    <row r="28" spans="2:8" ht="24.75" hidden="1" customHeight="1" x14ac:dyDescent="0.3">
      <c r="B28" s="24">
        <f t="shared" si="0"/>
        <v>13</v>
      </c>
      <c r="C28" s="88">
        <f>기계!$B19</f>
        <v>0</v>
      </c>
      <c r="D28" s="89"/>
      <c r="E28" s="86">
        <f>기계!$C19</f>
        <v>0</v>
      </c>
      <c r="F28" s="87"/>
      <c r="G28" s="84">
        <f>기계!$V19</f>
        <v>0</v>
      </c>
      <c r="H28" s="85"/>
    </row>
    <row r="29" spans="2:8" ht="24.75" hidden="1" customHeight="1" x14ac:dyDescent="0.3">
      <c r="B29" s="24">
        <f t="shared" si="0"/>
        <v>14</v>
      </c>
      <c r="C29" s="88">
        <f>기계!$B20</f>
        <v>0</v>
      </c>
      <c r="D29" s="89"/>
      <c r="E29" s="86">
        <f>기계!$C20</f>
        <v>0</v>
      </c>
      <c r="F29" s="87"/>
      <c r="G29" s="84">
        <f>기계!$V20</f>
        <v>0</v>
      </c>
      <c r="H29" s="85"/>
    </row>
    <row r="30" spans="2:8" ht="24.75" hidden="1" customHeight="1" x14ac:dyDescent="0.3">
      <c r="B30" s="24">
        <f t="shared" si="0"/>
        <v>15</v>
      </c>
      <c r="C30" s="88">
        <f>기계!$B21</f>
        <v>0</v>
      </c>
      <c r="D30" s="89"/>
      <c r="E30" s="86">
        <f>기계!$C21</f>
        <v>0</v>
      </c>
      <c r="F30" s="87"/>
      <c r="G30" s="84">
        <f>기계!$V21</f>
        <v>0</v>
      </c>
      <c r="H30" s="85"/>
    </row>
    <row r="31" spans="2:8" ht="24.75" hidden="1" customHeight="1" x14ac:dyDescent="0.3">
      <c r="B31" s="24">
        <f t="shared" si="0"/>
        <v>16</v>
      </c>
      <c r="C31" s="88">
        <f>기계!$B22</f>
        <v>0</v>
      </c>
      <c r="D31" s="89"/>
      <c r="E31" s="86">
        <f>기계!$C22</f>
        <v>0</v>
      </c>
      <c r="F31" s="87"/>
      <c r="G31" s="84">
        <f>기계!$V22</f>
        <v>0</v>
      </c>
      <c r="H31" s="85"/>
    </row>
    <row r="32" spans="2:8" ht="24.75" hidden="1" customHeight="1" x14ac:dyDescent="0.3">
      <c r="B32" s="24">
        <f t="shared" si="0"/>
        <v>17</v>
      </c>
      <c r="C32" s="88">
        <f>기계!$B23</f>
        <v>0</v>
      </c>
      <c r="D32" s="89"/>
      <c r="E32" s="86">
        <f>기계!$C23</f>
        <v>0</v>
      </c>
      <c r="F32" s="87"/>
      <c r="G32" s="84">
        <f>기계!$V23</f>
        <v>0</v>
      </c>
      <c r="H32" s="85"/>
    </row>
    <row r="33" spans="2:8" ht="24.75" hidden="1" customHeight="1" x14ac:dyDescent="0.3">
      <c r="B33" s="24">
        <f t="shared" si="0"/>
        <v>18</v>
      </c>
      <c r="C33" s="88">
        <f>기계!$B24</f>
        <v>0</v>
      </c>
      <c r="D33" s="89"/>
      <c r="E33" s="86">
        <f>기계!$C24</f>
        <v>0</v>
      </c>
      <c r="F33" s="87"/>
      <c r="G33" s="84">
        <f>기계!$V24</f>
        <v>0</v>
      </c>
      <c r="H33" s="85"/>
    </row>
    <row r="34" spans="2:8" ht="24.75" hidden="1" customHeight="1" x14ac:dyDescent="0.3">
      <c r="B34" s="24">
        <f t="shared" si="0"/>
        <v>19</v>
      </c>
      <c r="C34" s="88">
        <f>기계!$B25</f>
        <v>0</v>
      </c>
      <c r="D34" s="89"/>
      <c r="E34" s="86">
        <f>기계!$C25</f>
        <v>0</v>
      </c>
      <c r="F34" s="87"/>
      <c r="G34" s="84">
        <f>기계!$V25</f>
        <v>0</v>
      </c>
      <c r="H34" s="85"/>
    </row>
    <row r="35" spans="2:8" ht="24.75" hidden="1" customHeight="1" x14ac:dyDescent="0.3">
      <c r="B35" s="24">
        <f t="shared" si="0"/>
        <v>20</v>
      </c>
      <c r="C35" s="88">
        <f>기계!$B26</f>
        <v>0</v>
      </c>
      <c r="D35" s="89"/>
      <c r="E35" s="86">
        <f>기계!$C26</f>
        <v>0</v>
      </c>
      <c r="F35" s="87"/>
      <c r="G35" s="84">
        <f>기계!$V26</f>
        <v>0</v>
      </c>
      <c r="H35" s="85"/>
    </row>
    <row r="36" spans="2:8" ht="24.75" hidden="1" customHeight="1" x14ac:dyDescent="0.3">
      <c r="B36" s="24">
        <f t="shared" si="0"/>
        <v>21</v>
      </c>
      <c r="C36" s="88">
        <f>기계!$B27</f>
        <v>0</v>
      </c>
      <c r="D36" s="89"/>
      <c r="E36" s="86">
        <f>기계!$C27</f>
        <v>0</v>
      </c>
      <c r="F36" s="87"/>
      <c r="G36" s="84">
        <f>기계!$V27</f>
        <v>0</v>
      </c>
      <c r="H36" s="85"/>
    </row>
    <row r="37" spans="2:8" ht="24.75" hidden="1" customHeight="1" x14ac:dyDescent="0.3">
      <c r="B37" s="24">
        <f t="shared" si="0"/>
        <v>22</v>
      </c>
      <c r="C37" s="88">
        <f>기계!$B28</f>
        <v>0</v>
      </c>
      <c r="D37" s="89"/>
      <c r="E37" s="86">
        <f>기계!$C28</f>
        <v>0</v>
      </c>
      <c r="F37" s="87"/>
      <c r="G37" s="84">
        <f>기계!$V28</f>
        <v>0</v>
      </c>
      <c r="H37" s="85"/>
    </row>
    <row r="38" spans="2:8" ht="24.75" hidden="1" customHeight="1" x14ac:dyDescent="0.3">
      <c r="B38" s="24">
        <f t="shared" si="0"/>
        <v>23</v>
      </c>
      <c r="C38" s="88">
        <f>기계!$B29</f>
        <v>0</v>
      </c>
      <c r="D38" s="89"/>
      <c r="E38" s="86">
        <f>기계!$C29</f>
        <v>0</v>
      </c>
      <c r="F38" s="87"/>
      <c r="G38" s="84">
        <f>기계!$V29</f>
        <v>0</v>
      </c>
      <c r="H38" s="85"/>
    </row>
    <row r="39" spans="2:8" ht="24.75" hidden="1" customHeight="1" x14ac:dyDescent="0.3">
      <c r="B39" s="24">
        <f t="shared" si="0"/>
        <v>24</v>
      </c>
      <c r="C39" s="88">
        <f>기계!$B30</f>
        <v>0</v>
      </c>
      <c r="D39" s="89"/>
      <c r="E39" s="86">
        <f>기계!$C30</f>
        <v>0</v>
      </c>
      <c r="F39" s="87"/>
      <c r="G39" s="84">
        <f>기계!$V30</f>
        <v>0</v>
      </c>
      <c r="H39" s="85"/>
    </row>
    <row r="40" spans="2:8" ht="24.75" hidden="1" customHeight="1" x14ac:dyDescent="0.3">
      <c r="B40" s="24"/>
      <c r="C40" s="88">
        <f>기계!$B31</f>
        <v>0</v>
      </c>
      <c r="D40" s="89"/>
      <c r="E40" s="86">
        <f>기계!$C31</f>
        <v>0</v>
      </c>
      <c r="F40" s="87"/>
      <c r="G40" s="84">
        <f>기계!$V31</f>
        <v>0</v>
      </c>
      <c r="H40" s="85"/>
    </row>
    <row r="41" spans="2:8" ht="24.75" customHeight="1" x14ac:dyDescent="0.3">
      <c r="B41" s="92" t="s">
        <v>0</v>
      </c>
      <c r="C41" s="93"/>
      <c r="D41" s="93"/>
      <c r="E41" s="90"/>
      <c r="F41" s="91"/>
      <c r="G41" s="90">
        <f>기계!V32</f>
        <v>324000</v>
      </c>
      <c r="H41" s="91"/>
    </row>
    <row r="1048542" spans="3:4" ht="13.5" customHeight="1" x14ac:dyDescent="0.3">
      <c r="C1048542" s="88"/>
      <c r="D1048542" s="88"/>
    </row>
  </sheetData>
  <mergeCells count="86">
    <mergeCell ref="G40:H40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G30:H30"/>
    <mergeCell ref="G31:H31"/>
    <mergeCell ref="G32:H32"/>
    <mergeCell ref="G33:H33"/>
    <mergeCell ref="C1048542:D1048542"/>
    <mergeCell ref="C22:D22"/>
    <mergeCell ref="C23:D23"/>
    <mergeCell ref="C24:D24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E24:F24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C19:D19"/>
    <mergeCell ref="E19:F19"/>
    <mergeCell ref="E18:F18"/>
    <mergeCell ref="G41:H41"/>
    <mergeCell ref="C21:D21"/>
    <mergeCell ref="B41:D41"/>
    <mergeCell ref="E41:F41"/>
    <mergeCell ref="E21:F21"/>
    <mergeCell ref="G22:H22"/>
    <mergeCell ref="G23:H23"/>
    <mergeCell ref="G24:H24"/>
    <mergeCell ref="C25:D25"/>
    <mergeCell ref="C26:D26"/>
    <mergeCell ref="C27:D27"/>
    <mergeCell ref="C28:D28"/>
    <mergeCell ref="E23:F23"/>
    <mergeCell ref="E22:F22"/>
    <mergeCell ref="G17:H17"/>
    <mergeCell ref="G18:H18"/>
    <mergeCell ref="G19:H19"/>
    <mergeCell ref="G20:H20"/>
    <mergeCell ref="G21:H21"/>
    <mergeCell ref="E20:F20"/>
    <mergeCell ref="E26:F26"/>
    <mergeCell ref="E27:F27"/>
    <mergeCell ref="E28:F28"/>
    <mergeCell ref="E29:F29"/>
    <mergeCell ref="G25:H25"/>
    <mergeCell ref="G26:H26"/>
    <mergeCell ref="G27:H27"/>
    <mergeCell ref="G28:H28"/>
    <mergeCell ref="G29:H29"/>
    <mergeCell ref="E25:F25"/>
    <mergeCell ref="G39:H39"/>
    <mergeCell ref="G34:H34"/>
    <mergeCell ref="G35:H35"/>
    <mergeCell ref="G36:H36"/>
    <mergeCell ref="G37:H37"/>
    <mergeCell ref="G38:H38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7"/>
  <sheetViews>
    <sheetView zoomScale="85" zoomScaleNormal="85" workbookViewId="0">
      <pane ySplit="6" topLeftCell="A7" activePane="bottomLeft" state="frozen"/>
      <selection pane="bottomLeft" activeCell="C36" sqref="C36:K37"/>
    </sheetView>
  </sheetViews>
  <sheetFormatPr defaultRowHeight="12" x14ac:dyDescent="0.3"/>
  <cols>
    <col min="1" max="1" width="6.25" style="5" customWidth="1"/>
    <col min="2" max="2" width="14.375" style="5" bestFit="1" customWidth="1"/>
    <col min="3" max="3" width="32" style="5" customWidth="1"/>
    <col min="4" max="4" width="25.375" style="5" bestFit="1" customWidth="1"/>
    <col min="5" max="5" width="23.75" style="5" bestFit="1" customWidth="1"/>
    <col min="6" max="6" width="4.5" style="5" customWidth="1"/>
    <col min="7" max="7" width="20.125" style="5" bestFit="1" customWidth="1"/>
    <col min="8" max="8" width="7.75" style="26" bestFit="1" customWidth="1"/>
    <col min="9" max="9" width="9.125" style="30" bestFit="1" customWidth="1"/>
    <col min="10" max="10" width="8.75" style="34" bestFit="1" customWidth="1"/>
    <col min="11" max="17" width="7.75" style="5" customWidth="1"/>
    <col min="18" max="18" width="11.125" style="5" customWidth="1"/>
    <col min="19" max="19" width="13.125" style="5" customWidth="1"/>
    <col min="20" max="20" width="6.25" style="5" customWidth="1"/>
    <col min="21" max="22" width="12" style="5" bestFit="1" customWidth="1"/>
    <col min="23" max="16384" width="9" style="5"/>
  </cols>
  <sheetData>
    <row r="1" spans="1:22" ht="17.25" x14ac:dyDescent="0.3">
      <c r="A1" s="4" t="s">
        <v>21</v>
      </c>
      <c r="K1" s="6"/>
      <c r="L1" s="6"/>
      <c r="M1" s="6"/>
      <c r="N1" s="6"/>
      <c r="O1" s="6"/>
      <c r="P1" s="6"/>
      <c r="Q1" s="6"/>
      <c r="R1" s="6"/>
      <c r="S1" s="6"/>
    </row>
    <row r="2" spans="1:22" ht="17.25" x14ac:dyDescent="0.3">
      <c r="A2" s="7" t="s">
        <v>22</v>
      </c>
    </row>
    <row r="3" spans="1:22" ht="13.5" customHeight="1" x14ac:dyDescent="0.3">
      <c r="A3" s="7"/>
    </row>
    <row r="4" spans="1:22" ht="16.5" x14ac:dyDescent="0.3">
      <c r="A4" s="8"/>
      <c r="B4" s="8"/>
      <c r="C4" s="8"/>
      <c r="D4" s="8"/>
      <c r="E4" s="8"/>
      <c r="F4" s="8"/>
      <c r="G4" s="8"/>
      <c r="H4" s="27"/>
      <c r="I4" s="31"/>
      <c r="J4" s="35"/>
    </row>
    <row r="5" spans="1:22" ht="13.5" customHeight="1" thickBot="1" x14ac:dyDescent="0.25">
      <c r="A5" s="9"/>
      <c r="B5" s="10"/>
      <c r="C5" s="10"/>
      <c r="D5" s="10"/>
      <c r="E5" s="11"/>
      <c r="F5" s="11"/>
      <c r="G5" s="11"/>
      <c r="H5" s="28"/>
      <c r="I5" s="32"/>
      <c r="J5" s="36"/>
      <c r="K5" s="58">
        <v>70000</v>
      </c>
      <c r="L5" s="58">
        <v>50000</v>
      </c>
      <c r="M5" s="58">
        <v>40000</v>
      </c>
      <c r="N5" s="58">
        <v>35000</v>
      </c>
      <c r="O5" s="58">
        <v>20000</v>
      </c>
      <c r="P5" s="58">
        <v>15600</v>
      </c>
      <c r="Q5" s="58">
        <v>30000</v>
      </c>
      <c r="R5" s="58">
        <v>35000</v>
      </c>
      <c r="S5" s="58">
        <v>35000</v>
      </c>
    </row>
    <row r="6" spans="1:22" s="19" customFormat="1" ht="24.75" customHeight="1" x14ac:dyDescent="0.3">
      <c r="A6" s="51" t="s">
        <v>14</v>
      </c>
      <c r="B6" s="52" t="s">
        <v>25</v>
      </c>
      <c r="C6" s="53" t="s">
        <v>26</v>
      </c>
      <c r="D6" s="53" t="s">
        <v>23</v>
      </c>
      <c r="E6" s="54" t="s">
        <v>27</v>
      </c>
      <c r="F6" s="54" t="s">
        <v>16</v>
      </c>
      <c r="G6" s="52" t="s">
        <v>17</v>
      </c>
      <c r="H6" s="101" t="s">
        <v>24</v>
      </c>
      <c r="I6" s="102"/>
      <c r="J6" s="103"/>
      <c r="K6" s="55" t="s">
        <v>13</v>
      </c>
      <c r="L6" s="55" t="s">
        <v>39</v>
      </c>
      <c r="M6" s="55" t="s">
        <v>12</v>
      </c>
      <c r="N6" s="55" t="s">
        <v>11</v>
      </c>
      <c r="O6" s="55" t="s">
        <v>10</v>
      </c>
      <c r="P6" s="55" t="s">
        <v>9</v>
      </c>
      <c r="Q6" s="55" t="s">
        <v>8</v>
      </c>
      <c r="R6" s="55" t="s">
        <v>7</v>
      </c>
      <c r="S6" s="56" t="s">
        <v>6</v>
      </c>
      <c r="T6" s="57" t="s">
        <v>5</v>
      </c>
      <c r="U6" s="71" t="s">
        <v>38</v>
      </c>
      <c r="V6" s="57" t="s">
        <v>18</v>
      </c>
    </row>
    <row r="7" spans="1:22" s="18" customFormat="1" ht="30" customHeight="1" x14ac:dyDescent="0.3">
      <c r="A7" s="20">
        <f>ROW()-6</f>
        <v>1</v>
      </c>
      <c r="B7" s="106">
        <v>80290162</v>
      </c>
      <c r="C7" s="77" t="s">
        <v>42</v>
      </c>
      <c r="D7" s="76"/>
      <c r="E7" s="76"/>
      <c r="F7" s="21">
        <v>1</v>
      </c>
      <c r="G7" s="80" t="s">
        <v>43</v>
      </c>
      <c r="H7" s="47">
        <v>42</v>
      </c>
      <c r="I7" s="48"/>
      <c r="J7" s="49">
        <v>90</v>
      </c>
      <c r="K7" s="22">
        <v>0.5</v>
      </c>
      <c r="L7" s="22"/>
      <c r="M7" s="22">
        <v>0.5</v>
      </c>
      <c r="N7" s="22">
        <v>0</v>
      </c>
      <c r="O7" s="22">
        <v>0</v>
      </c>
      <c r="P7" s="22">
        <v>0.5</v>
      </c>
      <c r="Q7" s="22">
        <v>0.5</v>
      </c>
      <c r="R7" s="22"/>
      <c r="S7" s="22">
        <v>1</v>
      </c>
      <c r="T7" s="74">
        <f>SUM($K7:$S7)</f>
        <v>3</v>
      </c>
      <c r="U7" s="72">
        <f>(K7*$K$5+L7*$L$5+M7*$M$5+N7*$N$5+O7*$O$5+P7*$P$5+Q7*$Q$5+S7*$S$5+R7*$R$5)*$F7</f>
        <v>112800</v>
      </c>
      <c r="V7" s="50">
        <f>ROUNDDOWN($U7,-3)</f>
        <v>112000</v>
      </c>
    </row>
    <row r="8" spans="1:22" s="18" customFormat="1" ht="30" customHeight="1" x14ac:dyDescent="0.3">
      <c r="A8" s="20">
        <f t="shared" ref="A8:A11" si="0">ROW()-6</f>
        <v>2</v>
      </c>
      <c r="B8" s="106" t="s">
        <v>44</v>
      </c>
      <c r="C8" s="77" t="s">
        <v>45</v>
      </c>
      <c r="D8" s="76"/>
      <c r="E8" s="76"/>
      <c r="F8" s="21">
        <v>1</v>
      </c>
      <c r="G8" s="83" t="s">
        <v>46</v>
      </c>
      <c r="H8" s="47">
        <v>30</v>
      </c>
      <c r="I8" s="48">
        <v>45</v>
      </c>
      <c r="J8" s="49">
        <v>45</v>
      </c>
      <c r="K8" s="22">
        <v>0.5</v>
      </c>
      <c r="L8" s="22"/>
      <c r="M8" s="22">
        <v>0</v>
      </c>
      <c r="N8" s="22">
        <v>0</v>
      </c>
      <c r="O8" s="22">
        <v>0</v>
      </c>
      <c r="P8" s="22">
        <v>0.2</v>
      </c>
      <c r="Q8" s="22">
        <v>0.2</v>
      </c>
      <c r="R8" s="22"/>
      <c r="S8" s="22">
        <v>0.5</v>
      </c>
      <c r="T8" s="74">
        <f t="shared" ref="T8:T31" si="1">SUM($K8:$S8)</f>
        <v>1.4</v>
      </c>
      <c r="U8" s="72">
        <f t="shared" ref="U8" si="2">(K8*$K$5+L8*$L$5+M8*$M$5+N8*$N$5+O8*$O$5+P8*$P$5+Q8*$Q$5+S8*$S$5+R8*$R$5)*$F8</f>
        <v>61620</v>
      </c>
      <c r="V8" s="50">
        <f t="shared" ref="V8:V31" si="3">ROUNDDOWN($U8,-3)</f>
        <v>61000</v>
      </c>
    </row>
    <row r="9" spans="1:22" s="18" customFormat="1" ht="30" customHeight="1" x14ac:dyDescent="0.3">
      <c r="A9" s="20">
        <f t="shared" si="0"/>
        <v>3</v>
      </c>
      <c r="B9" s="82" t="s">
        <v>47</v>
      </c>
      <c r="C9" s="77" t="s">
        <v>48</v>
      </c>
      <c r="D9" s="76"/>
      <c r="E9" s="76"/>
      <c r="F9" s="21">
        <v>1</v>
      </c>
      <c r="G9" s="83" t="s">
        <v>46</v>
      </c>
      <c r="H9" s="47">
        <v>35</v>
      </c>
      <c r="I9" s="48">
        <v>42</v>
      </c>
      <c r="J9" s="49">
        <v>58</v>
      </c>
      <c r="K9" s="22">
        <v>1</v>
      </c>
      <c r="L9" s="22"/>
      <c r="M9" s="22"/>
      <c r="N9" s="22"/>
      <c r="O9" s="22"/>
      <c r="P9" s="22">
        <v>0.5</v>
      </c>
      <c r="Q9" s="22">
        <v>0.5</v>
      </c>
      <c r="R9" s="22"/>
      <c r="S9" s="22">
        <v>0.5</v>
      </c>
      <c r="T9" s="74">
        <f t="shared" si="1"/>
        <v>2.5</v>
      </c>
      <c r="U9" s="72">
        <f t="shared" ref="U9" si="4">(K9*$K$5+L9*$L$5+M9*$M$5+N9*$N$5+O9*$O$5+P9*$P$5+Q9*$Q$5+S9*$S$5+R9*$R$5)*$F9</f>
        <v>110300</v>
      </c>
      <c r="V9" s="50">
        <f t="shared" si="3"/>
        <v>110000</v>
      </c>
    </row>
    <row r="10" spans="1:22" s="18" customFormat="1" ht="30" customHeight="1" x14ac:dyDescent="0.3">
      <c r="A10" s="20">
        <f t="shared" si="0"/>
        <v>4</v>
      </c>
      <c r="B10" s="82" t="s">
        <v>51</v>
      </c>
      <c r="C10" s="77" t="s">
        <v>49</v>
      </c>
      <c r="D10" s="76"/>
      <c r="E10" s="76"/>
      <c r="F10" s="21">
        <v>1</v>
      </c>
      <c r="G10" s="83" t="s">
        <v>50</v>
      </c>
      <c r="H10" s="47">
        <v>14</v>
      </c>
      <c r="I10" s="48">
        <v>18</v>
      </c>
      <c r="J10" s="49">
        <v>52</v>
      </c>
      <c r="K10" s="22"/>
      <c r="L10" s="22"/>
      <c r="M10" s="22">
        <v>0.2</v>
      </c>
      <c r="N10" s="22"/>
      <c r="O10" s="22"/>
      <c r="P10" s="22">
        <v>0.2</v>
      </c>
      <c r="Q10" s="22">
        <v>0.2</v>
      </c>
      <c r="R10" s="22"/>
      <c r="S10" s="22">
        <v>0.2</v>
      </c>
      <c r="T10" s="74">
        <f t="shared" si="1"/>
        <v>0.8</v>
      </c>
      <c r="U10" s="72">
        <f t="shared" ref="U9:U12" si="5">(K10*$K$5+L10*$L$5+M10*$M$5+N10*$N$5+O10*$O$5+P10*$P$5+Q10*$Q$5+S10*$S$5+R10*$R$5)*$F10</f>
        <v>24120</v>
      </c>
      <c r="V10" s="50">
        <f t="shared" si="3"/>
        <v>24000</v>
      </c>
    </row>
    <row r="11" spans="1:22" s="18" customFormat="1" ht="30" customHeight="1" x14ac:dyDescent="0.3">
      <c r="A11" s="20">
        <f t="shared" si="0"/>
        <v>5</v>
      </c>
      <c r="B11" s="82" t="s">
        <v>53</v>
      </c>
      <c r="C11" s="77" t="s">
        <v>54</v>
      </c>
      <c r="D11" s="76" t="s">
        <v>52</v>
      </c>
      <c r="E11" s="25"/>
      <c r="F11" s="21">
        <v>1</v>
      </c>
      <c r="G11" s="80" t="s">
        <v>55</v>
      </c>
      <c r="H11" s="47">
        <v>20</v>
      </c>
      <c r="I11" s="48">
        <v>20</v>
      </c>
      <c r="J11" s="49">
        <v>150</v>
      </c>
      <c r="K11" s="22">
        <f>1*0.1</f>
        <v>0.1</v>
      </c>
      <c r="L11" s="22"/>
      <c r="M11" s="22">
        <f>0.5*0.1</f>
        <v>0.05</v>
      </c>
      <c r="N11" s="22"/>
      <c r="O11" s="22"/>
      <c r="P11" s="22">
        <v>0.1</v>
      </c>
      <c r="Q11" s="22">
        <v>0.1</v>
      </c>
      <c r="R11" s="22"/>
      <c r="S11" s="22">
        <v>0.1</v>
      </c>
      <c r="T11" s="74">
        <f t="shared" si="1"/>
        <v>0.44999999999999996</v>
      </c>
      <c r="U11" s="72">
        <f t="shared" si="5"/>
        <v>17060</v>
      </c>
      <c r="V11" s="50">
        <f t="shared" si="3"/>
        <v>17000</v>
      </c>
    </row>
    <row r="12" spans="1:22" s="18" customFormat="1" ht="30" hidden="1" customHeight="1" x14ac:dyDescent="0.3">
      <c r="A12" s="20"/>
      <c r="B12" s="106"/>
      <c r="C12" s="77"/>
      <c r="D12" s="76"/>
      <c r="E12" s="25"/>
      <c r="F12" s="21"/>
      <c r="G12" s="80"/>
      <c r="H12" s="47"/>
      <c r="I12" s="48"/>
      <c r="J12" s="49"/>
      <c r="K12" s="22"/>
      <c r="L12" s="22"/>
      <c r="M12" s="22"/>
      <c r="N12" s="22"/>
      <c r="O12" s="22"/>
      <c r="P12" s="22"/>
      <c r="Q12" s="22"/>
      <c r="R12" s="22"/>
      <c r="S12" s="22"/>
      <c r="T12" s="74">
        <f t="shared" si="1"/>
        <v>0</v>
      </c>
      <c r="U12" s="72">
        <f t="shared" si="5"/>
        <v>0</v>
      </c>
      <c r="V12" s="50">
        <f t="shared" si="3"/>
        <v>0</v>
      </c>
    </row>
    <row r="13" spans="1:22" s="18" customFormat="1" ht="30" hidden="1" customHeight="1" x14ac:dyDescent="0.3">
      <c r="A13" s="20"/>
      <c r="B13" s="106"/>
      <c r="C13" s="77"/>
      <c r="D13" s="76"/>
      <c r="E13" s="25"/>
      <c r="F13" s="21"/>
      <c r="G13" s="80"/>
      <c r="H13" s="47"/>
      <c r="I13" s="48"/>
      <c r="J13" s="49"/>
      <c r="K13" s="22"/>
      <c r="L13" s="22"/>
      <c r="M13" s="22"/>
      <c r="N13" s="22"/>
      <c r="O13" s="22"/>
      <c r="P13" s="22"/>
      <c r="Q13" s="22"/>
      <c r="R13" s="22"/>
      <c r="S13" s="22"/>
      <c r="T13" s="74">
        <f t="shared" si="1"/>
        <v>0</v>
      </c>
      <c r="U13" s="72">
        <f t="shared" ref="U13:U23" si="6">(K13*$K$5+L13*$L$5+M13*$M$5+N13*$N$5+O13*$O$5+P13*$P$5+Q13*$Q$5+S13*$S$5+R13*$R$5)*$F13</f>
        <v>0</v>
      </c>
      <c r="V13" s="50">
        <f t="shared" si="3"/>
        <v>0</v>
      </c>
    </row>
    <row r="14" spans="1:22" s="18" customFormat="1" ht="30" hidden="1" customHeight="1" x14ac:dyDescent="0.3">
      <c r="A14" s="20"/>
      <c r="B14" s="106"/>
      <c r="C14" s="77"/>
      <c r="D14" s="76"/>
      <c r="E14" s="25"/>
      <c r="F14" s="21"/>
      <c r="G14" s="80"/>
      <c r="H14" s="47"/>
      <c r="I14" s="48"/>
      <c r="J14" s="49"/>
      <c r="K14" s="22"/>
      <c r="L14" s="22"/>
      <c r="M14" s="22"/>
      <c r="N14" s="22"/>
      <c r="O14" s="22"/>
      <c r="P14" s="22"/>
      <c r="Q14" s="22"/>
      <c r="R14" s="22"/>
      <c r="S14" s="22"/>
      <c r="T14" s="74">
        <f t="shared" si="1"/>
        <v>0</v>
      </c>
      <c r="U14" s="72">
        <f t="shared" si="6"/>
        <v>0</v>
      </c>
      <c r="V14" s="50">
        <f t="shared" si="3"/>
        <v>0</v>
      </c>
    </row>
    <row r="15" spans="1:22" s="18" customFormat="1" ht="30" hidden="1" customHeight="1" x14ac:dyDescent="0.3">
      <c r="A15" s="20"/>
      <c r="B15" s="106"/>
      <c r="C15" s="77"/>
      <c r="D15" s="76"/>
      <c r="E15" s="25"/>
      <c r="F15" s="21"/>
      <c r="G15" s="80"/>
      <c r="H15" s="47"/>
      <c r="I15" s="48"/>
      <c r="J15" s="49"/>
      <c r="K15" s="22"/>
      <c r="L15" s="22"/>
      <c r="M15" s="22"/>
      <c r="N15" s="22"/>
      <c r="O15" s="22"/>
      <c r="P15" s="22"/>
      <c r="Q15" s="22"/>
      <c r="R15" s="22"/>
      <c r="S15" s="22"/>
      <c r="T15" s="74">
        <f t="shared" si="1"/>
        <v>0</v>
      </c>
      <c r="U15" s="72">
        <f t="shared" ref="U15:U20" si="7">(K15*$K$5+L15*$L$5+M15*$M$5+N15*$N$5+O15*$O$5+P15*$P$5+Q15*$Q$5+S15*$S$5+R15*$R$5)*$F15</f>
        <v>0</v>
      </c>
      <c r="V15" s="50">
        <f t="shared" si="3"/>
        <v>0</v>
      </c>
    </row>
    <row r="16" spans="1:22" s="18" customFormat="1" ht="30" hidden="1" customHeight="1" x14ac:dyDescent="0.3">
      <c r="A16" s="20"/>
      <c r="B16" s="106"/>
      <c r="C16" s="77"/>
      <c r="D16" s="76"/>
      <c r="E16" s="76"/>
      <c r="F16" s="21"/>
      <c r="G16" s="80"/>
      <c r="H16" s="47"/>
      <c r="I16" s="48"/>
      <c r="J16" s="49"/>
      <c r="K16" s="22"/>
      <c r="L16" s="22"/>
      <c r="M16" s="22"/>
      <c r="N16" s="22"/>
      <c r="O16" s="22"/>
      <c r="P16" s="22"/>
      <c r="Q16" s="22"/>
      <c r="R16" s="22"/>
      <c r="S16" s="22"/>
      <c r="T16" s="74">
        <f t="shared" si="1"/>
        <v>0</v>
      </c>
      <c r="U16" s="72">
        <f t="shared" si="7"/>
        <v>0</v>
      </c>
      <c r="V16" s="50">
        <f t="shared" si="3"/>
        <v>0</v>
      </c>
    </row>
    <row r="17" spans="1:22" s="18" customFormat="1" ht="30" hidden="1" customHeight="1" x14ac:dyDescent="0.3">
      <c r="A17" s="20"/>
      <c r="B17" s="106"/>
      <c r="C17" s="77"/>
      <c r="D17" s="76"/>
      <c r="E17" s="25"/>
      <c r="F17" s="21"/>
      <c r="G17" s="80"/>
      <c r="H17" s="47"/>
      <c r="I17" s="48"/>
      <c r="J17" s="49"/>
      <c r="K17" s="22"/>
      <c r="L17" s="22"/>
      <c r="M17" s="22"/>
      <c r="N17" s="22"/>
      <c r="O17" s="22"/>
      <c r="P17" s="22"/>
      <c r="Q17" s="22"/>
      <c r="R17" s="22"/>
      <c r="S17" s="22"/>
      <c r="T17" s="74">
        <f t="shared" si="1"/>
        <v>0</v>
      </c>
      <c r="U17" s="72">
        <f t="shared" si="7"/>
        <v>0</v>
      </c>
      <c r="V17" s="50">
        <f t="shared" si="3"/>
        <v>0</v>
      </c>
    </row>
    <row r="18" spans="1:22" s="18" customFormat="1" ht="30" hidden="1" customHeight="1" x14ac:dyDescent="0.3">
      <c r="A18" s="20"/>
      <c r="B18" s="106"/>
      <c r="C18" s="77"/>
      <c r="D18" s="76"/>
      <c r="E18" s="25"/>
      <c r="F18" s="21"/>
      <c r="G18" s="80"/>
      <c r="H18" s="47"/>
      <c r="I18" s="48"/>
      <c r="J18" s="49"/>
      <c r="K18" s="22"/>
      <c r="L18" s="22"/>
      <c r="M18" s="22"/>
      <c r="N18" s="22"/>
      <c r="O18" s="22"/>
      <c r="P18" s="22"/>
      <c r="Q18" s="22"/>
      <c r="R18" s="22"/>
      <c r="S18" s="22"/>
      <c r="T18" s="74">
        <f t="shared" si="1"/>
        <v>0</v>
      </c>
      <c r="U18" s="72">
        <f t="shared" si="7"/>
        <v>0</v>
      </c>
      <c r="V18" s="50">
        <f t="shared" si="3"/>
        <v>0</v>
      </c>
    </row>
    <row r="19" spans="1:22" s="18" customFormat="1" ht="30" hidden="1" customHeight="1" x14ac:dyDescent="0.3">
      <c r="A19" s="20"/>
      <c r="B19" s="106"/>
      <c r="C19" s="77"/>
      <c r="D19" s="76"/>
      <c r="E19" s="25"/>
      <c r="F19" s="21"/>
      <c r="G19" s="80"/>
      <c r="H19" s="47"/>
      <c r="I19" s="48"/>
      <c r="J19" s="49"/>
      <c r="K19" s="22"/>
      <c r="L19" s="22"/>
      <c r="M19" s="22"/>
      <c r="N19" s="22"/>
      <c r="O19" s="22"/>
      <c r="P19" s="22"/>
      <c r="Q19" s="22"/>
      <c r="R19" s="22"/>
      <c r="S19" s="22"/>
      <c r="T19" s="74">
        <f t="shared" si="1"/>
        <v>0</v>
      </c>
      <c r="U19" s="72">
        <f t="shared" si="7"/>
        <v>0</v>
      </c>
      <c r="V19" s="50">
        <f t="shared" si="3"/>
        <v>0</v>
      </c>
    </row>
    <row r="20" spans="1:22" s="18" customFormat="1" ht="30" hidden="1" customHeight="1" x14ac:dyDescent="0.3">
      <c r="A20" s="20"/>
      <c r="B20" s="106"/>
      <c r="C20" s="77"/>
      <c r="D20" s="76"/>
      <c r="E20" s="81"/>
      <c r="F20" s="21"/>
      <c r="G20" s="80"/>
      <c r="H20" s="47"/>
      <c r="I20" s="48"/>
      <c r="J20" s="49"/>
      <c r="K20" s="22"/>
      <c r="L20" s="22"/>
      <c r="M20" s="22"/>
      <c r="N20" s="22"/>
      <c r="O20" s="22"/>
      <c r="P20" s="22"/>
      <c r="Q20" s="22"/>
      <c r="R20" s="22"/>
      <c r="S20" s="22"/>
      <c r="T20" s="74">
        <f t="shared" si="1"/>
        <v>0</v>
      </c>
      <c r="U20" s="72">
        <f t="shared" si="7"/>
        <v>0</v>
      </c>
      <c r="V20" s="50">
        <f t="shared" si="3"/>
        <v>0</v>
      </c>
    </row>
    <row r="21" spans="1:22" s="18" customFormat="1" ht="30" hidden="1" customHeight="1" x14ac:dyDescent="0.3">
      <c r="A21" s="20"/>
      <c r="B21" s="106"/>
      <c r="C21" s="77"/>
      <c r="D21" s="76"/>
      <c r="E21" s="25"/>
      <c r="F21" s="21"/>
      <c r="G21" s="80"/>
      <c r="H21" s="47"/>
      <c r="I21" s="48"/>
      <c r="J21" s="49"/>
      <c r="K21" s="22"/>
      <c r="L21" s="22"/>
      <c r="M21" s="22"/>
      <c r="N21" s="22"/>
      <c r="O21" s="22"/>
      <c r="P21" s="22"/>
      <c r="Q21" s="22"/>
      <c r="R21" s="22"/>
      <c r="S21" s="22"/>
      <c r="T21" s="74">
        <f t="shared" si="1"/>
        <v>0</v>
      </c>
      <c r="U21" s="72">
        <f t="shared" si="6"/>
        <v>0</v>
      </c>
      <c r="V21" s="50">
        <f t="shared" si="3"/>
        <v>0</v>
      </c>
    </row>
    <row r="22" spans="1:22" s="18" customFormat="1" ht="30" hidden="1" customHeight="1" x14ac:dyDescent="0.3">
      <c r="A22" s="20"/>
      <c r="B22" s="106"/>
      <c r="C22" s="77"/>
      <c r="D22" s="76"/>
      <c r="E22" s="25"/>
      <c r="F22" s="21"/>
      <c r="G22" s="80"/>
      <c r="H22" s="47"/>
      <c r="I22" s="48"/>
      <c r="J22" s="49"/>
      <c r="K22" s="22"/>
      <c r="L22" s="22"/>
      <c r="M22" s="22"/>
      <c r="N22" s="22"/>
      <c r="O22" s="22"/>
      <c r="P22" s="22"/>
      <c r="Q22" s="22"/>
      <c r="R22" s="22"/>
      <c r="S22" s="22"/>
      <c r="T22" s="74">
        <f t="shared" si="1"/>
        <v>0</v>
      </c>
      <c r="U22" s="72">
        <f t="shared" si="6"/>
        <v>0</v>
      </c>
      <c r="V22" s="50">
        <f t="shared" si="3"/>
        <v>0</v>
      </c>
    </row>
    <row r="23" spans="1:22" s="18" customFormat="1" ht="30" hidden="1" customHeight="1" x14ac:dyDescent="0.3">
      <c r="A23" s="20"/>
      <c r="B23" s="106"/>
      <c r="C23" s="77"/>
      <c r="D23" s="76"/>
      <c r="E23" s="25"/>
      <c r="F23" s="21"/>
      <c r="G23" s="80"/>
      <c r="H23" s="47"/>
      <c r="I23" s="48"/>
      <c r="J23" s="49"/>
      <c r="K23" s="22"/>
      <c r="L23" s="22"/>
      <c r="M23" s="22"/>
      <c r="N23" s="22"/>
      <c r="O23" s="22"/>
      <c r="P23" s="22"/>
      <c r="Q23" s="22"/>
      <c r="R23" s="22"/>
      <c r="S23" s="22"/>
      <c r="T23" s="74">
        <f t="shared" si="1"/>
        <v>0</v>
      </c>
      <c r="U23" s="72">
        <f t="shared" si="6"/>
        <v>0</v>
      </c>
      <c r="V23" s="50">
        <f t="shared" si="3"/>
        <v>0</v>
      </c>
    </row>
    <row r="24" spans="1:22" s="18" customFormat="1" ht="30" hidden="1" customHeight="1" x14ac:dyDescent="0.3">
      <c r="A24" s="20"/>
      <c r="B24" s="106"/>
      <c r="C24" s="77"/>
      <c r="D24" s="76"/>
      <c r="E24" s="25"/>
      <c r="F24" s="21"/>
      <c r="G24" s="80"/>
      <c r="H24" s="47"/>
      <c r="I24" s="48"/>
      <c r="J24" s="49"/>
      <c r="K24" s="22"/>
      <c r="L24" s="22"/>
      <c r="M24" s="22"/>
      <c r="N24" s="22"/>
      <c r="O24" s="22"/>
      <c r="P24" s="22"/>
      <c r="Q24" s="22"/>
      <c r="R24" s="22"/>
      <c r="S24" s="22"/>
      <c r="T24" s="74">
        <f t="shared" si="1"/>
        <v>0</v>
      </c>
      <c r="U24" s="72">
        <f t="shared" ref="U24:U30" si="8">(K24*$K$5+L24*$L$5+M24*$M$5+N24*$N$5+O24*$O$5+P24*$P$5+Q24*$Q$5+S24*$S$5+R24*$R$5)*$F24</f>
        <v>0</v>
      </c>
      <c r="V24" s="50">
        <f t="shared" si="3"/>
        <v>0</v>
      </c>
    </row>
    <row r="25" spans="1:22" s="18" customFormat="1" ht="30" hidden="1" customHeight="1" x14ac:dyDescent="0.3">
      <c r="A25" s="20"/>
      <c r="B25" s="106"/>
      <c r="C25" s="77"/>
      <c r="D25" s="76"/>
      <c r="E25" s="25"/>
      <c r="F25" s="21"/>
      <c r="G25" s="80"/>
      <c r="H25" s="47"/>
      <c r="I25" s="48"/>
      <c r="J25" s="49"/>
      <c r="K25" s="22"/>
      <c r="L25" s="22"/>
      <c r="M25" s="22"/>
      <c r="N25" s="22"/>
      <c r="O25" s="22"/>
      <c r="P25" s="22"/>
      <c r="Q25" s="22"/>
      <c r="R25" s="22"/>
      <c r="S25" s="22"/>
      <c r="T25" s="74">
        <f t="shared" si="1"/>
        <v>0</v>
      </c>
      <c r="U25" s="72">
        <f t="shared" si="8"/>
        <v>0</v>
      </c>
      <c r="V25" s="50">
        <f t="shared" si="3"/>
        <v>0</v>
      </c>
    </row>
    <row r="26" spans="1:22" s="18" customFormat="1" ht="30" hidden="1" customHeight="1" x14ac:dyDescent="0.3">
      <c r="A26" s="20"/>
      <c r="B26" s="106"/>
      <c r="C26" s="77"/>
      <c r="D26" s="76"/>
      <c r="E26" s="25"/>
      <c r="F26" s="21"/>
      <c r="G26" s="80"/>
      <c r="H26" s="47"/>
      <c r="I26" s="48"/>
      <c r="J26" s="49"/>
      <c r="K26" s="22"/>
      <c r="L26" s="22"/>
      <c r="M26" s="22"/>
      <c r="N26" s="22"/>
      <c r="O26" s="22"/>
      <c r="P26" s="22"/>
      <c r="Q26" s="22"/>
      <c r="R26" s="22"/>
      <c r="S26" s="22"/>
      <c r="T26" s="74">
        <f t="shared" si="1"/>
        <v>0</v>
      </c>
      <c r="U26" s="72">
        <f t="shared" si="8"/>
        <v>0</v>
      </c>
      <c r="V26" s="50">
        <f t="shared" si="3"/>
        <v>0</v>
      </c>
    </row>
    <row r="27" spans="1:22" s="18" customFormat="1" ht="30" hidden="1" customHeight="1" x14ac:dyDescent="0.3">
      <c r="A27" s="20"/>
      <c r="B27" s="106"/>
      <c r="C27" s="77"/>
      <c r="D27" s="76"/>
      <c r="E27" s="25"/>
      <c r="F27" s="21"/>
      <c r="G27" s="80"/>
      <c r="H27" s="47"/>
      <c r="I27" s="48"/>
      <c r="J27" s="49"/>
      <c r="K27" s="22"/>
      <c r="L27" s="22"/>
      <c r="M27" s="22"/>
      <c r="N27" s="22"/>
      <c r="O27" s="22"/>
      <c r="P27" s="22"/>
      <c r="Q27" s="22"/>
      <c r="R27" s="22"/>
      <c r="S27" s="22"/>
      <c r="T27" s="74">
        <f t="shared" si="1"/>
        <v>0</v>
      </c>
      <c r="U27" s="72">
        <f t="shared" si="8"/>
        <v>0</v>
      </c>
      <c r="V27" s="50">
        <f t="shared" si="3"/>
        <v>0</v>
      </c>
    </row>
    <row r="28" spans="1:22" s="18" customFormat="1" ht="30" hidden="1" customHeight="1" x14ac:dyDescent="0.3">
      <c r="A28" s="20"/>
      <c r="B28" s="77"/>
      <c r="C28" s="77"/>
      <c r="D28" s="76"/>
      <c r="E28" s="25"/>
      <c r="F28" s="21"/>
      <c r="G28" s="80"/>
      <c r="H28" s="47"/>
      <c r="I28" s="48"/>
      <c r="J28" s="49"/>
      <c r="K28" s="22"/>
      <c r="L28" s="22"/>
      <c r="M28" s="22"/>
      <c r="N28" s="22"/>
      <c r="O28" s="22"/>
      <c r="P28" s="22"/>
      <c r="Q28" s="22"/>
      <c r="R28" s="22"/>
      <c r="S28" s="22"/>
      <c r="T28" s="74">
        <f t="shared" si="1"/>
        <v>0</v>
      </c>
      <c r="U28" s="72">
        <f t="shared" si="8"/>
        <v>0</v>
      </c>
      <c r="V28" s="50">
        <f t="shared" si="3"/>
        <v>0</v>
      </c>
    </row>
    <row r="29" spans="1:22" s="18" customFormat="1" ht="30" hidden="1" customHeight="1" x14ac:dyDescent="0.3">
      <c r="A29" s="20"/>
      <c r="B29" s="77"/>
      <c r="C29" s="77"/>
      <c r="D29" s="76"/>
      <c r="E29" s="25"/>
      <c r="F29" s="21"/>
      <c r="G29" s="80"/>
      <c r="H29" s="47"/>
      <c r="I29" s="48"/>
      <c r="J29" s="49"/>
      <c r="K29" s="22"/>
      <c r="L29" s="22"/>
      <c r="M29" s="22"/>
      <c r="N29" s="22"/>
      <c r="O29" s="22"/>
      <c r="P29" s="22"/>
      <c r="Q29" s="22"/>
      <c r="R29" s="22"/>
      <c r="S29" s="22"/>
      <c r="T29" s="74">
        <f t="shared" si="1"/>
        <v>0</v>
      </c>
      <c r="U29" s="72">
        <f t="shared" si="8"/>
        <v>0</v>
      </c>
      <c r="V29" s="50">
        <f t="shared" si="3"/>
        <v>0</v>
      </c>
    </row>
    <row r="30" spans="1:22" s="18" customFormat="1" ht="30" hidden="1" customHeight="1" x14ac:dyDescent="0.3">
      <c r="A30" s="20"/>
      <c r="B30" s="77"/>
      <c r="C30" s="77"/>
      <c r="D30" s="76"/>
      <c r="E30" s="25"/>
      <c r="F30" s="21"/>
      <c r="G30" s="80"/>
      <c r="H30" s="47"/>
      <c r="I30" s="48"/>
      <c r="J30" s="49"/>
      <c r="K30" s="22"/>
      <c r="L30" s="22"/>
      <c r="M30" s="22"/>
      <c r="N30" s="22"/>
      <c r="O30" s="22"/>
      <c r="P30" s="22"/>
      <c r="Q30" s="22"/>
      <c r="R30" s="22"/>
      <c r="S30" s="22"/>
      <c r="T30" s="74">
        <f t="shared" si="1"/>
        <v>0</v>
      </c>
      <c r="U30" s="72">
        <f t="shared" si="8"/>
        <v>0</v>
      </c>
      <c r="V30" s="50">
        <f t="shared" si="3"/>
        <v>0</v>
      </c>
    </row>
    <row r="31" spans="1:22" s="18" customFormat="1" ht="30" customHeight="1" x14ac:dyDescent="0.3">
      <c r="A31" s="20"/>
      <c r="B31" s="77"/>
      <c r="C31" s="77"/>
      <c r="D31" s="76"/>
      <c r="E31" s="25"/>
      <c r="F31" s="21"/>
      <c r="G31" s="80"/>
      <c r="H31" s="47"/>
      <c r="I31" s="48"/>
      <c r="J31" s="49"/>
      <c r="K31" s="22"/>
      <c r="L31" s="22"/>
      <c r="M31" s="22"/>
      <c r="N31" s="22"/>
      <c r="O31" s="22"/>
      <c r="P31" s="22"/>
      <c r="Q31" s="22"/>
      <c r="R31" s="22"/>
      <c r="S31" s="22"/>
      <c r="T31" s="74">
        <f t="shared" si="1"/>
        <v>0</v>
      </c>
      <c r="U31" s="72">
        <f t="shared" ref="U31" si="9">(K31*$K$5+L31*$L$5+M31*$M$5+N31*$N$5+O31*$O$5+P31*$P$5+Q31*$Q$5+S31*$S$5+R31*$R$5)*$F31</f>
        <v>0</v>
      </c>
      <c r="V31" s="50">
        <f t="shared" si="3"/>
        <v>0</v>
      </c>
    </row>
    <row r="32" spans="1:22" s="18" customFormat="1" ht="30" customHeight="1" thickBot="1" x14ac:dyDescent="0.35">
      <c r="A32" s="40"/>
      <c r="B32" s="78"/>
      <c r="C32" s="79"/>
      <c r="D32" s="38"/>
      <c r="E32" s="41"/>
      <c r="F32" s="41"/>
      <c r="G32" s="42"/>
      <c r="H32" s="43"/>
      <c r="I32" s="44"/>
      <c r="J32" s="45"/>
      <c r="K32" s="39"/>
      <c r="L32" s="39"/>
      <c r="M32" s="39"/>
      <c r="N32" s="39"/>
      <c r="O32" s="39"/>
      <c r="P32" s="39"/>
      <c r="Q32" s="39"/>
      <c r="R32" s="39"/>
      <c r="S32" s="39"/>
      <c r="T32" s="75"/>
      <c r="U32" s="73" t="s">
        <v>37</v>
      </c>
      <c r="V32" s="46">
        <f>SUM(V7:V21)</f>
        <v>324000</v>
      </c>
    </row>
    <row r="33" spans="1:22" ht="15.75" customHeight="1" x14ac:dyDescent="0.3">
      <c r="A33" s="12"/>
      <c r="B33" s="13"/>
      <c r="C33" s="13"/>
      <c r="D33" s="13"/>
      <c r="E33" s="13"/>
      <c r="F33" s="13"/>
      <c r="G33" s="13"/>
      <c r="H33" s="29"/>
      <c r="I33" s="33"/>
      <c r="J33" s="3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15"/>
    </row>
    <row r="35" spans="1:22" ht="26.25" x14ac:dyDescent="0.5">
      <c r="P35" s="99" t="s">
        <v>19</v>
      </c>
      <c r="Q35" s="99"/>
      <c r="R35" s="99"/>
      <c r="S35" s="99"/>
      <c r="T35" s="99"/>
      <c r="U35" s="99"/>
      <c r="V35" s="99"/>
    </row>
    <row r="36" spans="1:22" ht="26.25" x14ac:dyDescent="0.5">
      <c r="C36" s="104" t="s">
        <v>56</v>
      </c>
      <c r="D36" s="105"/>
      <c r="E36" s="105"/>
      <c r="F36" s="105"/>
      <c r="G36" s="105"/>
      <c r="H36" s="105"/>
      <c r="I36" s="105"/>
      <c r="J36" s="105"/>
      <c r="K36" s="105"/>
      <c r="P36" s="100">
        <v>46199</v>
      </c>
      <c r="Q36" s="100"/>
      <c r="R36" s="100"/>
      <c r="S36" s="100"/>
      <c r="T36" s="100"/>
      <c r="U36" s="100"/>
      <c r="V36" s="100"/>
    </row>
    <row r="37" spans="1:22" ht="26.25" x14ac:dyDescent="0.5">
      <c r="C37" s="105"/>
      <c r="D37" s="105"/>
      <c r="E37" s="105"/>
      <c r="F37" s="105"/>
      <c r="G37" s="105"/>
      <c r="H37" s="105"/>
      <c r="I37" s="105"/>
      <c r="J37" s="105"/>
      <c r="K37" s="105"/>
      <c r="P37" s="99" t="s">
        <v>20</v>
      </c>
      <c r="Q37" s="99"/>
      <c r="R37" s="99"/>
      <c r="S37" s="99"/>
      <c r="T37" s="99"/>
      <c r="U37" s="99"/>
      <c r="V37" s="99"/>
    </row>
    <row r="45" spans="1:22" x14ac:dyDescent="0.3">
      <c r="R45" s="16"/>
    </row>
    <row r="57" spans="16:22" ht="16.5" x14ac:dyDescent="0.3">
      <c r="P57" s="17"/>
      <c r="V57" s="17"/>
    </row>
  </sheetData>
  <mergeCells count="5">
    <mergeCell ref="P35:V35"/>
    <mergeCell ref="P36:V36"/>
    <mergeCell ref="P37:V37"/>
    <mergeCell ref="H6:J6"/>
    <mergeCell ref="C36:K37"/>
  </mergeCells>
  <phoneticPr fontId="1" type="noConversion"/>
  <conditionalFormatting sqref="B32 B7:B21">
    <cfRule type="duplicateValues" dxfId="26" priority="92"/>
  </conditionalFormatting>
  <conditionalFormatting sqref="C7:C21">
    <cfRule type="duplicateValues" dxfId="25" priority="94"/>
  </conditionalFormatting>
  <conditionalFormatting sqref="C22">
    <cfRule type="duplicateValues" dxfId="24" priority="51"/>
  </conditionalFormatting>
  <conditionalFormatting sqref="C23">
    <cfRule type="duplicateValues" dxfId="23" priority="49"/>
  </conditionalFormatting>
  <conditionalFormatting sqref="C24">
    <cfRule type="duplicateValues" dxfId="22" priority="47"/>
  </conditionalFormatting>
  <conditionalFormatting sqref="C26">
    <cfRule type="duplicateValues" dxfId="21" priority="43"/>
  </conditionalFormatting>
  <conditionalFormatting sqref="C28">
    <cfRule type="duplicateValues" dxfId="20" priority="39"/>
  </conditionalFormatting>
  <conditionalFormatting sqref="C29">
    <cfRule type="duplicateValues" dxfId="19" priority="37"/>
  </conditionalFormatting>
  <conditionalFormatting sqref="C30">
    <cfRule type="duplicateValues" dxfId="18" priority="35"/>
  </conditionalFormatting>
  <conditionalFormatting sqref="B22">
    <cfRule type="duplicateValues" dxfId="17" priority="31"/>
  </conditionalFormatting>
  <conditionalFormatting sqref="B23">
    <cfRule type="duplicateValues" dxfId="16" priority="30"/>
  </conditionalFormatting>
  <conditionalFormatting sqref="B24">
    <cfRule type="duplicateValues" dxfId="15" priority="29"/>
  </conditionalFormatting>
  <conditionalFormatting sqref="B25">
    <cfRule type="duplicateValues" dxfId="14" priority="28"/>
  </conditionalFormatting>
  <conditionalFormatting sqref="C25">
    <cfRule type="duplicateValues" dxfId="13" priority="26"/>
  </conditionalFormatting>
  <conditionalFormatting sqref="B26">
    <cfRule type="duplicateValues" dxfId="12" priority="24"/>
  </conditionalFormatting>
  <conditionalFormatting sqref="C27">
    <cfRule type="duplicateValues" dxfId="11" priority="23"/>
  </conditionalFormatting>
  <conditionalFormatting sqref="C27">
    <cfRule type="duplicateValues" dxfId="10" priority="22"/>
  </conditionalFormatting>
  <conditionalFormatting sqref="B27">
    <cfRule type="duplicateValues" dxfId="9" priority="21"/>
  </conditionalFormatting>
  <conditionalFormatting sqref="B28">
    <cfRule type="duplicateValues" dxfId="8" priority="20"/>
  </conditionalFormatting>
  <conditionalFormatting sqref="B29">
    <cfRule type="duplicateValues" dxfId="7" priority="19"/>
  </conditionalFormatting>
  <conditionalFormatting sqref="B30">
    <cfRule type="duplicateValues" dxfId="6" priority="6"/>
  </conditionalFormatting>
  <conditionalFormatting sqref="C30">
    <cfRule type="duplicateValues" dxfId="5" priority="5"/>
  </conditionalFormatting>
  <conditionalFormatting sqref="C31">
    <cfRule type="duplicateValues" dxfId="4" priority="4"/>
  </conditionalFormatting>
  <conditionalFormatting sqref="C31">
    <cfRule type="duplicateValues" dxfId="3" priority="3"/>
  </conditionalFormatting>
  <conditionalFormatting sqref="B31">
    <cfRule type="duplicateValues" dxfId="2" priority="2"/>
  </conditionalFormatting>
  <conditionalFormatting sqref="C31">
    <cfRule type="duplicateValues" dxfId="1" priority="1"/>
  </conditionalFormatting>
  <conditionalFormatting sqref="C32:C1048576 C28:C30 C1:C26">
    <cfRule type="duplicateValues" dxfId="0" priority="96"/>
  </conditionalFormatting>
  <pageMargins left="0.19685039370078741" right="0.19685039370078741" top="0.59055118110236227" bottom="0.43307086614173229" header="0.51181102362204722" footer="0.35433070866141736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2026-06-25T23:11:10Z</cp:lastPrinted>
  <dcterms:created xsi:type="dcterms:W3CDTF">2019-03-03T23:00:53Z</dcterms:created>
  <dcterms:modified xsi:type="dcterms:W3CDTF">2026-06-26T01:19:46Z</dcterms:modified>
</cp:coreProperties>
</file>