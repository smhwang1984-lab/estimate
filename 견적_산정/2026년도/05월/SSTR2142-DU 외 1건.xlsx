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5. 생산자료\견적_산정\2026년도\05월\"/>
    </mc:Choice>
  </mc:AlternateContent>
  <xr:revisionPtr revIDLastSave="0" documentId="13_ncr:1_{D714575A-0774-497B-9017-84F2FE0C99C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기계!$A$1:$V$14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9" l="1"/>
  <c r="G16" i="9"/>
  <c r="E17" i="9"/>
  <c r="E16" i="9"/>
  <c r="C17" i="9"/>
  <c r="C16" i="9"/>
  <c r="T8" i="10"/>
  <c r="T7" i="10"/>
  <c r="U8" i="10"/>
  <c r="V8" i="10" s="1"/>
  <c r="U7" i="10"/>
  <c r="V7" i="10" s="1"/>
  <c r="A8" i="10" l="1"/>
  <c r="A7" i="10"/>
  <c r="P13" i="10"/>
  <c r="V9" i="10" l="1"/>
  <c r="G26" i="9" s="1"/>
</calcChain>
</file>

<file path=xl/sharedStrings.xml><?xml version="1.0" encoding="utf-8"?>
<sst xmlns="http://schemas.openxmlformats.org/spreadsheetml/2006/main" count="50" uniqueCount="50">
  <si>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</si>
  <si>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</si>
  <si>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</si>
  <si>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</si>
  <si>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</si>
  <si>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</si>
  <si>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</si>
  <si>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</si>
  <si>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</si>
  <si>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</si>
  <si>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</si>
  <si>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</si>
  <si>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</si>
  <si>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</si>
  <si>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</si>
  <si>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</si>
  <si>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</si>
  <si>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</si>
  <si>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</si>
  <si>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</si>
  <si>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</si>
  <si>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</si>
  <si>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</si>
  <si>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</si>
  <si>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</si>
  <si>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</si>
  <si>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</si>
  <si>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</si>
  <si>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제출일자 : YYYY.MM.DD</t>
    <phoneticPr fontId="3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</si>
  <si>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</si>
  <si>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</si>
  <si>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</si>
  <si>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</si>
  <si>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</si>
  <si>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</si>
  <si>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</si>
  <si>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</si>
  <si>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</si>
  <si>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</si>
  <si>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</si>
  <si>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</si>
  <si>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</si>
  <si>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>SSTR2142-DU</t>
    <phoneticPr fontId="1" type="noConversion"/>
  </si>
  <si>
    <t>덮개, 탄두부용</t>
    <phoneticPr fontId="27" type="noConversion"/>
  </si>
  <si>
    <t>치구 재작 필요
30T X 660 X 350</t>
    <phoneticPr fontId="1" type="noConversion"/>
  </si>
  <si>
    <t>AL6061P-T3</t>
    <phoneticPr fontId="1" type="noConversion"/>
  </si>
  <si>
    <t>SSTR1115-DU</t>
    <phoneticPr fontId="1" type="noConversion"/>
  </si>
  <si>
    <t>더미, 첨두부용</t>
    <phoneticPr fontId="1" type="noConversion"/>
  </si>
  <si>
    <t>SC45C SCM430 
SCM440</t>
    <phoneticPr fontId="1" type="noConversion"/>
  </si>
  <si>
    <t>Ø410 X T35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</si>
</sst>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80" fontId="20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80" fontId="20" fillId="0" borderId="12" xfId="11" applyNumberFormat="1" applyFont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/>
    </xf>
    <xf numFmtId="178" fontId="25" fillId="0" borderId="12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4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180" fontId="20" fillId="0" borderId="9" xfId="11" applyNumberFormat="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shrinkToFit="1"/>
    </xf>
    <xf numFmtId="0" fontId="20" fillId="0" borderId="9" xfId="11" applyFont="1" applyBorder="1" applyAlignment="1">
      <alignment horizontal="center" vertical="center" wrapText="1" shrinkToFit="1"/>
    </xf>
    <xf numFmtId="178" fontId="25" fillId="0" borderId="9" xfId="1" applyNumberFormat="1" applyFont="1" applyFill="1" applyBorder="1" applyAlignment="1">
      <alignment horizontal="center"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wrapText="1" shrinkToFit="1"/>
    </xf>
    <xf numFmtId="0" fontId="20" fillId="0" borderId="8" xfId="0" applyFont="1" applyBorder="1" applyAlignment="1">
      <alignment horizontal="center" vertical="center"/>
    </xf>
    <xf numFmtId="0" fontId="20" fillId="0" borderId="9" xfId="11" applyFont="1" applyBorder="1" applyAlignment="1">
      <alignment horizontal="center" vertical="center"/>
    </xf>
    <xf numFmtId="0" fontId="12" fillId="0" borderId="9" xfId="8" applyFont="1" applyBorder="1">
      <alignment vertical="center"/>
    </xf>
    <xf numFmtId="181" fontId="16" fillId="0" borderId="9" xfId="11" applyNumberFormat="1" applyFont="1" applyBorder="1" applyAlignment="1">
      <alignment horizontal="center" vertical="center"/>
    </xf>
    <xf numFmtId="182" fontId="16" fillId="0" borderId="9" xfId="11" applyNumberFormat="1" applyFont="1" applyBorder="1" applyAlignment="1">
      <alignment horizontal="center" vertical="center"/>
    </xf>
    <xf numFmtId="183" fontId="16" fillId="0" borderId="9" xfId="11" applyNumberFormat="1" applyFont="1" applyBorder="1" applyAlignment="1">
      <alignment horizontal="center" vertical="center" shrinkToFit="1"/>
    </xf>
    <xf numFmtId="41" fontId="26" fillId="2" borderId="10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0" borderId="12" xfId="8" applyFont="1" applyBorder="1">
      <alignment vertical="center"/>
    </xf>
    <xf numFmtId="181" fontId="14" fillId="0" borderId="12" xfId="8" applyNumberFormat="1" applyFont="1" applyBorder="1" applyAlignment="1">
      <alignment horizontal="center" vertical="center"/>
    </xf>
    <xf numFmtId="182" fontId="14" fillId="0" borderId="12" xfId="8" applyNumberFormat="1" applyFont="1" applyBorder="1" applyAlignment="1">
      <alignment horizontal="center" vertical="center"/>
    </xf>
    <xf numFmtId="183" fontId="6" fillId="0" borderId="12" xfId="0" applyNumberFormat="1" applyFont="1" applyBorder="1" applyAlignment="1">
      <alignment horizontal="center" vertical="center"/>
    </xf>
    <xf numFmtId="41" fontId="26" fillId="0" borderId="13" xfId="1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8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shrinkToFit="1"/>
    </xf>
    <xf numFmtId="0" fontId="19" fillId="3" borderId="17" xfId="11" applyFont="1" applyFill="1" applyBorder="1" applyAlignment="1">
      <alignment horizontal="center" vertical="center" wrapText="1"/>
    </xf>
    <xf numFmtId="179" fontId="19" fillId="3" borderId="17" xfId="12" applyNumberFormat="1" applyFont="1" applyFill="1" applyBorder="1" applyAlignment="1">
      <alignment horizontal="center" vertical="center"/>
    </xf>
    <xf numFmtId="0" fontId="26" fillId="3" borderId="17" xfId="8" applyFont="1" applyFill="1" applyBorder="1" applyAlignment="1">
      <alignment horizontal="center" vertical="center"/>
    </xf>
    <xf numFmtId="0" fontId="26" fillId="3" borderId="21" xfId="8" applyFont="1" applyFill="1" applyBorder="1" applyAlignment="1">
      <alignment horizontal="center" vertical="center"/>
    </xf>
    <xf numFmtId="41" fontId="29" fillId="2" borderId="15" xfId="1" applyFont="1" applyFill="1" applyBorder="1" applyAlignment="1"/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 applyAlignment="1">
      <alignment horizontal="centerContinuous"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38" fillId="0" borderId="0" xfId="8" applyFont="1">
      <alignment vertical="center"/>
    </xf>
    <xf numFmtId="0" fontId="37" fillId="0" borderId="0" xfId="8" applyFont="1">
      <alignment vertical="center"/>
    </xf>
    <xf numFmtId="0" fontId="39" fillId="0" borderId="0" xfId="8" applyFont="1">
      <alignment vertical="center"/>
    </xf>
    <xf numFmtId="0" fontId="39" fillId="0" borderId="0" xfId="9" applyFont="1">
      <alignment vertical="center"/>
    </xf>
    <xf numFmtId="0" fontId="26" fillId="3" borderId="20" xfId="8" applyFont="1" applyFill="1" applyBorder="1" applyAlignment="1">
      <alignment horizontal="center" vertical="center"/>
    </xf>
    <xf numFmtId="178" fontId="25" fillId="0" borderId="22" xfId="1" applyNumberFormat="1" applyFont="1" applyFill="1" applyBorder="1" applyAlignment="1">
      <alignment horizontal="center" vertical="center"/>
    </xf>
    <xf numFmtId="178" fontId="25" fillId="0" borderId="23" xfId="1" applyNumberFormat="1" applyFont="1" applyFill="1" applyBorder="1" applyAlignment="1">
      <alignment horizontal="center" vertical="center"/>
    </xf>
    <xf numFmtId="178" fontId="25" fillId="4" borderId="13" xfId="1" applyNumberFormat="1" applyFont="1" applyFill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20" fillId="0" borderId="7" xfId="11" applyFont="1" applyBorder="1" applyAlignment="1">
      <alignment horizontal="center" vertical="center" wrapText="1"/>
    </xf>
    <xf numFmtId="0" fontId="39" fillId="0" borderId="0" xfId="8" applyFont="1">
      <alignment vertical="center"/>
    </xf>
    <xf numFmtId="0" fontId="39" fillId="0" borderId="0" xfId="8" applyFont="1" applyAlignment="1">
      <alignment horizontal="left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8" xfId="11" applyFont="1" applyFill="1" applyBorder="1" applyAlignment="1">
      <alignment horizontal="center" vertical="center" shrinkToFit="1"/>
    </xf>
    <xf numFmtId="0" fontId="18" fillId="3" borderId="19" xfId="11" applyFont="1" applyFill="1" applyBorder="1" applyAlignment="1">
      <alignment horizontal="center" vertical="center" shrinkToFit="1"/>
    </xf>
    <xf numFmtId="0" fontId="18" fillId="3" borderId="20" xfId="11" applyFont="1" applyFill="1" applyBorder="1" applyAlignment="1">
      <alignment horizontal="center" vertical="center" shrinkToFit="1"/>
    </xf>
    <xf numFmtId="0" fontId="20" fillId="0" borderId="12" xfId="11" applyFont="1" applyBorder="1" applyAlignment="1">
      <alignment horizontal="center" vertical="center" wrapText="1" shrinkToFit="1"/>
    </xf>
    <xf numFmtId="0" fontId="12" fillId="0" borderId="7" xfId="8" applyFont="1" applyBorder="1" applyAlignment="1">
      <alignment vertical="center" wrapTex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17</xdr:row>
      <xdr:rowOff>76200</xdr:rowOff>
    </xdr:from>
    <xdr:to>
      <xdr:col>7</xdr:col>
      <xdr:colOff>1000125</xdr:colOff>
      <xdr:row>24</xdr:row>
      <xdr:rowOff>238125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390525" y="5657850"/>
          <a:ext cx="6581775" cy="2362200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tabSelected="1" topLeftCell="B2" workbookViewId="0">
      <selection activeCell="L17" sqref="L17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73" t="s">
        <v>4</v>
      </c>
      <c r="C1" s="74"/>
      <c r="D1" s="74"/>
      <c r="E1" s="74"/>
      <c r="F1" s="74"/>
      <c r="G1" s="74"/>
      <c r="H1" s="74"/>
    </row>
    <row r="2" spans="2:8" ht="27" x14ac:dyDescent="0.3">
      <c r="B2" s="75"/>
      <c r="C2" s="76"/>
      <c r="D2" s="76"/>
      <c r="E2" s="76"/>
      <c r="F2" s="76"/>
      <c r="G2" s="76"/>
      <c r="H2" s="76"/>
    </row>
    <row r="3" spans="2:8" x14ac:dyDescent="0.3">
      <c r="B3" s="77"/>
      <c r="C3" s="77"/>
      <c r="D3" s="77"/>
      <c r="E3" s="77"/>
      <c r="F3" s="78"/>
      <c r="G3" s="79"/>
      <c r="H3" s="79"/>
    </row>
    <row r="4" spans="2:8" ht="39.950000000000003" customHeight="1" x14ac:dyDescent="0.3">
      <c r="B4" s="80" t="s">
        <v>33</v>
      </c>
      <c r="C4" s="81"/>
      <c r="D4" s="81"/>
      <c r="E4" s="81"/>
      <c r="F4" s="82"/>
      <c r="G4" s="82"/>
      <c r="H4" s="82"/>
    </row>
    <row r="5" spans="2:8" ht="21" customHeight="1" x14ac:dyDescent="0.3">
      <c r="B5" s="91" t="s">
        <v>37</v>
      </c>
      <c r="C5" s="91"/>
      <c r="D5" s="91"/>
      <c r="E5" s="91"/>
      <c r="F5" s="83" t="s">
        <v>34</v>
      </c>
      <c r="G5" s="83"/>
      <c r="H5" s="83"/>
    </row>
    <row r="6" spans="2:8" ht="24.75" customHeight="1" x14ac:dyDescent="0.3">
      <c r="B6" s="91" t="s">
        <v>3</v>
      </c>
      <c r="C6" s="91"/>
      <c r="D6" s="91"/>
      <c r="E6" s="91"/>
      <c r="F6" s="83" t="s">
        <v>30</v>
      </c>
      <c r="G6" s="83"/>
      <c r="H6" s="83"/>
    </row>
    <row r="7" spans="2:8" ht="24.75" customHeight="1" x14ac:dyDescent="0.3">
      <c r="B7" s="91" t="s">
        <v>28</v>
      </c>
      <c r="C7" s="91"/>
      <c r="D7" s="91"/>
      <c r="E7" s="91"/>
      <c r="F7" s="92" t="s">
        <v>31</v>
      </c>
      <c r="G7" s="92"/>
      <c r="H7" s="92"/>
    </row>
    <row r="8" spans="2:8" ht="24.75" customHeight="1" x14ac:dyDescent="0.3">
      <c r="B8" s="84" t="s">
        <v>29</v>
      </c>
      <c r="C8" s="83"/>
      <c r="D8" s="83"/>
      <c r="E8" s="83"/>
      <c r="F8" s="83" t="s">
        <v>32</v>
      </c>
      <c r="G8" s="83"/>
      <c r="H8" s="83"/>
    </row>
    <row r="9" spans="2:8" ht="24.75" customHeight="1" x14ac:dyDescent="0.3">
      <c r="B9" s="83" t="s">
        <v>2</v>
      </c>
      <c r="C9" s="83"/>
      <c r="D9" s="83"/>
      <c r="E9" s="83"/>
      <c r="F9" s="83" t="s">
        <v>41</v>
      </c>
      <c r="G9" s="83"/>
      <c r="H9" s="83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9" t="s">
        <v>1</v>
      </c>
      <c r="C15" s="100" t="s">
        <v>35</v>
      </c>
      <c r="D15" s="100"/>
      <c r="E15" s="100" t="s">
        <v>36</v>
      </c>
      <c r="F15" s="101"/>
      <c r="G15" s="96" t="s">
        <v>15</v>
      </c>
      <c r="H15" s="97"/>
    </row>
    <row r="16" spans="2:8" ht="24.75" customHeight="1" x14ac:dyDescent="0.3">
      <c r="B16" s="30">
        <v>1</v>
      </c>
      <c r="C16" s="93" t="str">
        <f>기계!$B7</f>
        <v>SSTR2142-DU</v>
      </c>
      <c r="D16" s="94"/>
      <c r="E16" s="95" t="str">
        <f>기계!$C7</f>
        <v>덮개, 탄두부용</v>
      </c>
      <c r="F16" s="94"/>
      <c r="G16" s="98">
        <f>기계!$V7</f>
        <v>355000</v>
      </c>
      <c r="H16" s="99"/>
    </row>
    <row r="17" spans="2:8" ht="24.75" customHeight="1" x14ac:dyDescent="0.3">
      <c r="B17" s="30">
        <v>2</v>
      </c>
      <c r="C17" s="93" t="str">
        <f>기계!$B8</f>
        <v>SSTR1115-DU</v>
      </c>
      <c r="D17" s="94"/>
      <c r="E17" s="95" t="str">
        <f>기계!$C8</f>
        <v>더미, 첨두부용</v>
      </c>
      <c r="F17" s="94"/>
      <c r="G17" s="98">
        <f>기계!$V8</f>
        <v>445000</v>
      </c>
      <c r="H17" s="99"/>
    </row>
    <row r="18" spans="2:8" ht="24.75" customHeight="1" x14ac:dyDescent="0.3">
      <c r="B18" s="30">
        <v>3</v>
      </c>
      <c r="C18" s="93"/>
      <c r="D18" s="94"/>
      <c r="E18" s="95"/>
      <c r="F18" s="94"/>
      <c r="G18" s="98"/>
      <c r="H18" s="99"/>
    </row>
    <row r="19" spans="2:8" ht="24.75" customHeight="1" x14ac:dyDescent="0.3">
      <c r="B19" s="30">
        <v>4</v>
      </c>
      <c r="C19" s="93"/>
      <c r="D19" s="94"/>
      <c r="E19" s="95"/>
      <c r="F19" s="94"/>
      <c r="G19" s="98"/>
      <c r="H19" s="99"/>
    </row>
    <row r="20" spans="2:8" ht="24.75" customHeight="1" x14ac:dyDescent="0.3">
      <c r="B20" s="30">
        <v>5</v>
      </c>
      <c r="C20" s="93"/>
      <c r="D20" s="94"/>
      <c r="E20" s="95"/>
      <c r="F20" s="94"/>
      <c r="G20" s="98"/>
      <c r="H20" s="99"/>
    </row>
    <row r="21" spans="2:8" ht="24.75" customHeight="1" x14ac:dyDescent="0.3">
      <c r="B21" s="30">
        <v>6</v>
      </c>
      <c r="C21" s="93"/>
      <c r="D21" s="94"/>
      <c r="E21" s="95"/>
      <c r="F21" s="94"/>
      <c r="G21" s="98"/>
      <c r="H21" s="99"/>
    </row>
    <row r="22" spans="2:8" ht="24.75" customHeight="1" x14ac:dyDescent="0.3">
      <c r="B22" s="30">
        <v>7</v>
      </c>
      <c r="C22" s="93"/>
      <c r="D22" s="94"/>
      <c r="E22" s="95"/>
      <c r="F22" s="94"/>
      <c r="G22" s="98"/>
      <c r="H22" s="99"/>
    </row>
    <row r="23" spans="2:8" ht="24.75" customHeight="1" x14ac:dyDescent="0.3">
      <c r="B23" s="30">
        <v>8</v>
      </c>
      <c r="C23" s="93"/>
      <c r="D23" s="94"/>
      <c r="E23" s="95"/>
      <c r="F23" s="94"/>
      <c r="G23" s="98"/>
      <c r="H23" s="99"/>
    </row>
    <row r="24" spans="2:8" ht="24.75" customHeight="1" x14ac:dyDescent="0.3">
      <c r="B24" s="30">
        <v>9</v>
      </c>
      <c r="C24" s="93"/>
      <c r="D24" s="94"/>
      <c r="E24" s="95"/>
      <c r="F24" s="94"/>
      <c r="G24" s="98"/>
      <c r="H24" s="99"/>
    </row>
    <row r="25" spans="2:8" ht="24.75" customHeight="1" x14ac:dyDescent="0.3">
      <c r="B25" s="30">
        <v>10</v>
      </c>
      <c r="C25" s="93"/>
      <c r="D25" s="94"/>
      <c r="E25" s="95"/>
      <c r="F25" s="94"/>
      <c r="G25" s="98"/>
      <c r="H25" s="99"/>
    </row>
    <row r="26" spans="2:8" ht="24.75" customHeight="1" x14ac:dyDescent="0.3">
      <c r="B26" s="100" t="s">
        <v>0</v>
      </c>
      <c r="C26" s="104"/>
      <c r="D26" s="104"/>
      <c r="E26" s="102"/>
      <c r="F26" s="103"/>
      <c r="G26" s="102">
        <f>SUM(G16:G25)</f>
        <v>800000</v>
      </c>
      <c r="H26" s="103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</sheetData>
  <mergeCells count="40">
    <mergeCell ref="G25:H25"/>
    <mergeCell ref="G17:H17"/>
    <mergeCell ref="G18:H18"/>
    <mergeCell ref="G19:H19"/>
    <mergeCell ref="G20:H20"/>
    <mergeCell ref="G21:H21"/>
    <mergeCell ref="G26:H26"/>
    <mergeCell ref="C21:D21"/>
    <mergeCell ref="C25:D25"/>
    <mergeCell ref="E25:F25"/>
    <mergeCell ref="C23:D23"/>
    <mergeCell ref="E23:F23"/>
    <mergeCell ref="C24:D24"/>
    <mergeCell ref="E24:F24"/>
    <mergeCell ref="B26:D26"/>
    <mergeCell ref="E26:F26"/>
    <mergeCell ref="E21:F21"/>
    <mergeCell ref="C22:D22"/>
    <mergeCell ref="E22:F22"/>
    <mergeCell ref="G22:H22"/>
    <mergeCell ref="G23:H23"/>
    <mergeCell ref="G24:H24"/>
    <mergeCell ref="C17:D17"/>
    <mergeCell ref="E17:F17"/>
    <mergeCell ref="C18:D18"/>
    <mergeCell ref="C20:D20"/>
    <mergeCell ref="E20:F20"/>
    <mergeCell ref="C19:D19"/>
    <mergeCell ref="E19:F19"/>
    <mergeCell ref="E18:F18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4"/>
  <sheetViews>
    <sheetView zoomScale="85" zoomScaleNormal="85" workbookViewId="0">
      <selection activeCell="B7" sqref="B7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2.625" style="6" bestFit="1" customWidth="1"/>
    <col min="5" max="5" width="18.375" style="6" bestFit="1" customWidth="1"/>
    <col min="6" max="6" width="4.5" style="6" customWidth="1"/>
    <col min="7" max="7" width="15.875" style="6" bestFit="1" customWidth="1"/>
    <col min="8" max="8" width="6.75" style="32" bestFit="1" customWidth="1"/>
    <col min="9" max="9" width="9.125" style="36" bestFit="1" customWidth="1"/>
    <col min="10" max="10" width="8.75" style="40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33"/>
      <c r="I4" s="37"/>
      <c r="J4" s="41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34"/>
      <c r="I5" s="38"/>
      <c r="J5" s="42"/>
      <c r="K5" s="72">
        <v>70000</v>
      </c>
      <c r="L5" s="72">
        <v>50000</v>
      </c>
      <c r="M5" s="72">
        <v>40000</v>
      </c>
      <c r="N5" s="72">
        <v>35000</v>
      </c>
      <c r="O5" s="72">
        <v>20000</v>
      </c>
      <c r="P5" s="72">
        <v>15600</v>
      </c>
      <c r="Q5" s="72">
        <v>30000</v>
      </c>
      <c r="R5" s="72">
        <v>35000</v>
      </c>
      <c r="S5" s="72">
        <v>35000</v>
      </c>
    </row>
    <row r="6" spans="1:22" s="20" customFormat="1" ht="24.75" customHeight="1" x14ac:dyDescent="0.3">
      <c r="A6" s="65" t="s">
        <v>14</v>
      </c>
      <c r="B6" s="66" t="s">
        <v>25</v>
      </c>
      <c r="C6" s="67" t="s">
        <v>26</v>
      </c>
      <c r="D6" s="67" t="s">
        <v>23</v>
      </c>
      <c r="E6" s="68" t="s">
        <v>27</v>
      </c>
      <c r="F6" s="68" t="s">
        <v>16</v>
      </c>
      <c r="G6" s="66" t="s">
        <v>17</v>
      </c>
      <c r="H6" s="107" t="s">
        <v>24</v>
      </c>
      <c r="I6" s="108"/>
      <c r="J6" s="109"/>
      <c r="K6" s="69" t="s">
        <v>13</v>
      </c>
      <c r="L6" s="69" t="s">
        <v>40</v>
      </c>
      <c r="M6" s="69" t="s">
        <v>12</v>
      </c>
      <c r="N6" s="69" t="s">
        <v>11</v>
      </c>
      <c r="O6" s="69" t="s">
        <v>10</v>
      </c>
      <c r="P6" s="69" t="s">
        <v>9</v>
      </c>
      <c r="Q6" s="69" t="s">
        <v>8</v>
      </c>
      <c r="R6" s="69" t="s">
        <v>7</v>
      </c>
      <c r="S6" s="70" t="s">
        <v>6</v>
      </c>
      <c r="T6" s="71" t="s">
        <v>5</v>
      </c>
      <c r="U6" s="85" t="s">
        <v>39</v>
      </c>
      <c r="V6" s="71" t="s">
        <v>18</v>
      </c>
    </row>
    <row r="7" spans="1:22" s="19" customFormat="1" ht="30" customHeight="1" x14ac:dyDescent="0.3">
      <c r="A7" s="25">
        <f>ROW()-6</f>
        <v>1</v>
      </c>
      <c r="B7" s="26" t="s">
        <v>42</v>
      </c>
      <c r="C7" s="59" t="s">
        <v>43</v>
      </c>
      <c r="D7" s="110" t="s">
        <v>44</v>
      </c>
      <c r="E7" s="31"/>
      <c r="F7" s="27">
        <v>1</v>
      </c>
      <c r="G7" s="60" t="s">
        <v>45</v>
      </c>
      <c r="H7" s="61">
        <v>55</v>
      </c>
      <c r="I7" s="62">
        <v>340</v>
      </c>
      <c r="J7" s="63">
        <v>660</v>
      </c>
      <c r="K7" s="28">
        <v>3</v>
      </c>
      <c r="L7" s="28"/>
      <c r="M7" s="28">
        <v>0</v>
      </c>
      <c r="N7" s="28"/>
      <c r="O7" s="28"/>
      <c r="P7" s="28">
        <v>1</v>
      </c>
      <c r="Q7" s="28">
        <v>2</v>
      </c>
      <c r="R7" s="28"/>
      <c r="S7" s="28">
        <v>2</v>
      </c>
      <c r="T7" s="88">
        <f>SUM($K7:$S7)</f>
        <v>8</v>
      </c>
      <c r="U7" s="86">
        <f>(K7*$K$5+L7*$L$5+M7*$M$5+N7*$N$5+O7*$O$5+P7*$P$5+Q7*$Q$5+S7*$S$5+R7*$R$5)*$F7</f>
        <v>355600</v>
      </c>
      <c r="V7" s="64">
        <f>ROUNDDOWN($U7,-3)</f>
        <v>355000</v>
      </c>
    </row>
    <row r="8" spans="1:22" s="19" customFormat="1" ht="30" customHeight="1" x14ac:dyDescent="0.3">
      <c r="A8" s="21">
        <f t="shared" ref="A8" si="0">ROW()-6</f>
        <v>2</v>
      </c>
      <c r="B8" s="22" t="s">
        <v>46</v>
      </c>
      <c r="C8" s="23" t="s">
        <v>47</v>
      </c>
      <c r="D8" s="51"/>
      <c r="E8" s="90" t="s">
        <v>49</v>
      </c>
      <c r="F8" s="27">
        <v>1</v>
      </c>
      <c r="G8" s="111" t="s">
        <v>48</v>
      </c>
      <c r="H8" s="48">
        <v>35</v>
      </c>
      <c r="I8" s="49"/>
      <c r="J8" s="50">
        <v>410</v>
      </c>
      <c r="K8" s="24">
        <v>4.5</v>
      </c>
      <c r="L8" s="24"/>
      <c r="M8" s="24">
        <v>0</v>
      </c>
      <c r="N8" s="24"/>
      <c r="O8" s="24"/>
      <c r="P8" s="24">
        <v>1</v>
      </c>
      <c r="Q8" s="24">
        <v>1.5</v>
      </c>
      <c r="R8" s="24"/>
      <c r="S8" s="24">
        <v>2</v>
      </c>
      <c r="T8" s="88">
        <f t="shared" ref="T8" si="1">SUM($K8:$S8)</f>
        <v>9</v>
      </c>
      <c r="U8" s="86">
        <f t="shared" ref="U8" si="2">(K8*$K$5+L8*$L$5+M8*$M$5+N8*$N$5+O8*$O$5+P8*$P$5+Q8*$Q$5+S8*$S$5+R8*$R$5)*$F8</f>
        <v>445600</v>
      </c>
      <c r="V8" s="64">
        <f t="shared" ref="V8" si="3">ROUNDDOWN($U8,-3)</f>
        <v>445000</v>
      </c>
    </row>
    <row r="9" spans="1:22" s="19" customFormat="1" ht="30" customHeight="1" thickBot="1" x14ac:dyDescent="0.35">
      <c r="A9" s="52"/>
      <c r="B9" s="44"/>
      <c r="C9" s="45"/>
      <c r="D9" s="46"/>
      <c r="E9" s="53"/>
      <c r="F9" s="53"/>
      <c r="G9" s="54"/>
      <c r="H9" s="55"/>
      <c r="I9" s="56"/>
      <c r="J9" s="57"/>
      <c r="K9" s="47"/>
      <c r="L9" s="47"/>
      <c r="M9" s="47"/>
      <c r="N9" s="47"/>
      <c r="O9" s="47"/>
      <c r="P9" s="47"/>
      <c r="Q9" s="47"/>
      <c r="R9" s="47"/>
      <c r="S9" s="47"/>
      <c r="T9" s="89"/>
      <c r="U9" s="87" t="s">
        <v>38</v>
      </c>
      <c r="V9" s="58">
        <f>SUM(V7:V8)</f>
        <v>800000</v>
      </c>
    </row>
    <row r="10" spans="1:22" ht="15.75" customHeight="1" x14ac:dyDescent="0.3">
      <c r="A10" s="13"/>
      <c r="B10" s="14"/>
      <c r="C10" s="14"/>
      <c r="D10" s="14"/>
      <c r="E10" s="14"/>
      <c r="F10" s="14"/>
      <c r="G10" s="14"/>
      <c r="H10" s="35"/>
      <c r="I10" s="39"/>
      <c r="J10" s="43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V10" s="16"/>
    </row>
    <row r="12" spans="1:22" ht="26.25" x14ac:dyDescent="0.5">
      <c r="P12" s="105" t="s">
        <v>19</v>
      </c>
      <c r="Q12" s="105"/>
      <c r="R12" s="105"/>
      <c r="S12" s="105"/>
      <c r="T12" s="105"/>
      <c r="U12" s="105"/>
      <c r="V12" s="105"/>
    </row>
    <row r="13" spans="1:22" ht="26.25" x14ac:dyDescent="0.5">
      <c r="P13" s="106">
        <f ca="1">TODAY()</f>
        <v>46163</v>
      </c>
      <c r="Q13" s="105"/>
      <c r="R13" s="105"/>
      <c r="S13" s="105"/>
      <c r="T13" s="105"/>
      <c r="U13" s="105"/>
      <c r="V13" s="105"/>
    </row>
    <row r="14" spans="1:22" ht="26.25" x14ac:dyDescent="0.5">
      <c r="P14" s="105" t="s">
        <v>20</v>
      </c>
      <c r="Q14" s="105"/>
      <c r="R14" s="105"/>
      <c r="S14" s="105"/>
      <c r="T14" s="105"/>
      <c r="U14" s="105"/>
      <c r="V14" s="105"/>
    </row>
    <row r="22" spans="18:18" x14ac:dyDescent="0.3">
      <c r="R22" s="17"/>
    </row>
    <row r="34" spans="16:22" ht="16.5" x14ac:dyDescent="0.3">
      <c r="P34" s="18"/>
      <c r="V34" s="18"/>
    </row>
  </sheetData>
  <mergeCells count="4">
    <mergeCell ref="P12:V12"/>
    <mergeCell ref="P13:V13"/>
    <mergeCell ref="P14:V14"/>
    <mergeCell ref="H6:J6"/>
  </mergeCells>
  <phoneticPr fontId="1" type="noConversion"/>
  <conditionalFormatting sqref="B7:B9">
    <cfRule type="duplicateValues" dxfId="0" priority="21"/>
  </conditionalFormatting>
  <pageMargins left="0.19685039370078741" right="0.19685039370078741" top="0.59055118110236227" bottom="0.43307086614173229" header="0.51181102362204722" footer="0.35433070866141736"/>
  <pageSetup paperSize="9" scale="5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2026-04-23T07:18:45Z</cp:lastPrinted>
  <dcterms:created xsi:type="dcterms:W3CDTF">2019-03-03T23:00:53Z</dcterms:created>
  <dcterms:modified xsi:type="dcterms:W3CDTF">2026-05-21T09:00:35Z</dcterms:modified>
</cp:coreProperties>
</file>