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생산부서 자료실\견적_산정\2026년도\07월\"/>
    </mc:Choice>
  </mc:AlternateContent>
  <bookViews>
    <workbookView xWindow="0" yWindow="0" windowWidth="28800" windowHeight="14235" activeTab="1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기계!$A$1:$V$54</definedName>
    <definedName name="_xlnm.Print_Titles" localSheetId="1">기계!$2:$6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0" l="1"/>
  <c r="T48" i="10"/>
  <c r="U48" i="10"/>
  <c r="V48" i="10" s="1"/>
  <c r="G56" i="9" s="1"/>
  <c r="E5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16" i="9"/>
  <c r="E15" i="9"/>
  <c r="C47" i="9"/>
  <c r="C48" i="9"/>
  <c r="C49" i="9"/>
  <c r="C50" i="9"/>
  <c r="C51" i="9"/>
  <c r="C52" i="9"/>
  <c r="C53" i="9"/>
  <c r="C54" i="9"/>
  <c r="C55" i="9"/>
  <c r="C5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18" i="9"/>
  <c r="C19" i="9"/>
  <c r="C20" i="9"/>
  <c r="C21" i="9"/>
  <c r="C22" i="9"/>
  <c r="C23" i="9"/>
  <c r="C24" i="9"/>
  <c r="C25" i="9"/>
  <c r="C26" i="9"/>
  <c r="C17" i="9"/>
  <c r="C16" i="9"/>
  <c r="C15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56" i="9"/>
  <c r="B55" i="9"/>
  <c r="B54" i="9"/>
  <c r="B53" i="9"/>
  <c r="B52" i="9"/>
  <c r="B51" i="9"/>
  <c r="B50" i="9"/>
  <c r="B49" i="9"/>
  <c r="B48" i="9"/>
  <c r="B47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U47" i="10"/>
  <c r="V47" i="10" s="1"/>
  <c r="G55" i="9" s="1"/>
  <c r="T47" i="10"/>
  <c r="A47" i="10"/>
  <c r="U46" i="10"/>
  <c r="V46" i="10" s="1"/>
  <c r="G54" i="9" s="1"/>
  <c r="T46" i="10"/>
  <c r="A46" i="10"/>
  <c r="U43" i="10"/>
  <c r="V43" i="10" s="1"/>
  <c r="G51" i="9" s="1"/>
  <c r="T43" i="10"/>
  <c r="A43" i="10"/>
  <c r="U42" i="10"/>
  <c r="V42" i="10" s="1"/>
  <c r="G50" i="9" s="1"/>
  <c r="T42" i="10"/>
  <c r="A42" i="10"/>
  <c r="U41" i="10"/>
  <c r="V41" i="10" s="1"/>
  <c r="G49" i="9" s="1"/>
  <c r="T41" i="10"/>
  <c r="A41" i="10"/>
  <c r="U45" i="10"/>
  <c r="V45" i="10" s="1"/>
  <c r="G53" i="9" s="1"/>
  <c r="T45" i="10"/>
  <c r="A45" i="10"/>
  <c r="U44" i="10"/>
  <c r="V44" i="10" s="1"/>
  <c r="G52" i="9" s="1"/>
  <c r="T44" i="10"/>
  <c r="A44" i="10"/>
  <c r="U38" i="10"/>
  <c r="V38" i="10" s="1"/>
  <c r="G46" i="9" s="1"/>
  <c r="T38" i="10"/>
  <c r="A38" i="10"/>
  <c r="U37" i="10"/>
  <c r="V37" i="10" s="1"/>
  <c r="G45" i="9" s="1"/>
  <c r="T37" i="10"/>
  <c r="A37" i="10"/>
  <c r="U36" i="10"/>
  <c r="V36" i="10" s="1"/>
  <c r="G44" i="9" s="1"/>
  <c r="T36" i="10"/>
  <c r="A36" i="10"/>
  <c r="U35" i="10"/>
  <c r="V35" i="10" s="1"/>
  <c r="G43" i="9" s="1"/>
  <c r="T35" i="10"/>
  <c r="A35" i="10"/>
  <c r="U40" i="10"/>
  <c r="V40" i="10" s="1"/>
  <c r="G48" i="9" s="1"/>
  <c r="T40" i="10"/>
  <c r="A40" i="10"/>
  <c r="U39" i="10"/>
  <c r="V39" i="10" s="1"/>
  <c r="G47" i="9" s="1"/>
  <c r="T39" i="10"/>
  <c r="A39" i="10"/>
  <c r="U34" i="10"/>
  <c r="V34" i="10" s="1"/>
  <c r="G42" i="9" s="1"/>
  <c r="T34" i="10"/>
  <c r="A34" i="10"/>
  <c r="U33" i="10"/>
  <c r="V33" i="10" s="1"/>
  <c r="G41" i="9" s="1"/>
  <c r="T33" i="10"/>
  <c r="A33" i="10"/>
  <c r="U24" i="10"/>
  <c r="V24" i="10" s="1"/>
  <c r="G32" i="9" s="1"/>
  <c r="T24" i="10"/>
  <c r="A24" i="10"/>
  <c r="U23" i="10"/>
  <c r="V23" i="10" s="1"/>
  <c r="G31" i="9" s="1"/>
  <c r="T23" i="10"/>
  <c r="A23" i="10"/>
  <c r="U22" i="10"/>
  <c r="V22" i="10" s="1"/>
  <c r="G30" i="9" s="1"/>
  <c r="T22" i="10"/>
  <c r="A22" i="10"/>
  <c r="U21" i="10"/>
  <c r="V21" i="10" s="1"/>
  <c r="G29" i="9" s="1"/>
  <c r="T21" i="10"/>
  <c r="A21" i="10"/>
  <c r="U20" i="10"/>
  <c r="V20" i="10" s="1"/>
  <c r="G28" i="9" s="1"/>
  <c r="T20" i="10"/>
  <c r="A20" i="10"/>
  <c r="U19" i="10"/>
  <c r="V19" i="10" s="1"/>
  <c r="G27" i="9" s="1"/>
  <c r="T19" i="10"/>
  <c r="A19" i="10"/>
  <c r="U18" i="10"/>
  <c r="V18" i="10" s="1"/>
  <c r="G26" i="9" s="1"/>
  <c r="T18" i="10"/>
  <c r="A18" i="10"/>
  <c r="U32" i="10"/>
  <c r="V32" i="10" s="1"/>
  <c r="G40" i="9" s="1"/>
  <c r="T32" i="10"/>
  <c r="A32" i="10"/>
  <c r="U31" i="10"/>
  <c r="V31" i="10" s="1"/>
  <c r="G39" i="9" s="1"/>
  <c r="T31" i="10"/>
  <c r="A31" i="10"/>
  <c r="U30" i="10"/>
  <c r="V30" i="10" s="1"/>
  <c r="G38" i="9" s="1"/>
  <c r="T30" i="10"/>
  <c r="A30" i="10"/>
  <c r="U29" i="10"/>
  <c r="V29" i="10" s="1"/>
  <c r="G37" i="9" s="1"/>
  <c r="T29" i="10"/>
  <c r="A29" i="10"/>
  <c r="U28" i="10"/>
  <c r="V28" i="10" s="1"/>
  <c r="G36" i="9" s="1"/>
  <c r="T28" i="10"/>
  <c r="A28" i="10"/>
  <c r="U27" i="10"/>
  <c r="V27" i="10" s="1"/>
  <c r="G35" i="9" s="1"/>
  <c r="T27" i="10"/>
  <c r="A27" i="10"/>
  <c r="U26" i="10"/>
  <c r="V26" i="10" s="1"/>
  <c r="G34" i="9" s="1"/>
  <c r="T26" i="10"/>
  <c r="A26" i="10"/>
  <c r="U25" i="10"/>
  <c r="V25" i="10" s="1"/>
  <c r="G33" i="9" s="1"/>
  <c r="T25" i="10"/>
  <c r="A25" i="10"/>
  <c r="U17" i="10"/>
  <c r="V17" i="10" s="1"/>
  <c r="G25" i="9" s="1"/>
  <c r="T17" i="10"/>
  <c r="A17" i="10"/>
  <c r="U15" i="10"/>
  <c r="V15" i="10" s="1"/>
  <c r="G23" i="9" s="1"/>
  <c r="T15" i="10"/>
  <c r="A15" i="10"/>
  <c r="U14" i="10"/>
  <c r="V14" i="10" s="1"/>
  <c r="G22" i="9" s="1"/>
  <c r="T14" i="10"/>
  <c r="A14" i="10"/>
  <c r="U13" i="10"/>
  <c r="V13" i="10" s="1"/>
  <c r="G21" i="9" s="1"/>
  <c r="T13" i="10"/>
  <c r="A13" i="10"/>
  <c r="U12" i="10"/>
  <c r="V12" i="10" s="1"/>
  <c r="G20" i="9" s="1"/>
  <c r="T12" i="10"/>
  <c r="A12" i="10"/>
  <c r="A16" i="10" l="1"/>
  <c r="A11" i="10"/>
  <c r="A10" i="10"/>
  <c r="A9" i="10"/>
  <c r="A8" i="10"/>
  <c r="A7" i="10"/>
  <c r="T16" i="10"/>
  <c r="U16" i="10"/>
  <c r="V16" i="10" s="1"/>
  <c r="G24" i="9" s="1"/>
  <c r="U11" i="10"/>
  <c r="V11" i="10" s="1"/>
  <c r="G19" i="9" s="1"/>
  <c r="T11" i="10"/>
  <c r="U10" i="10"/>
  <c r="V10" i="10" s="1"/>
  <c r="G18" i="9" s="1"/>
  <c r="T10" i="10"/>
  <c r="U9" i="10"/>
  <c r="V9" i="10" s="1"/>
  <c r="G17" i="9" s="1"/>
  <c r="T9" i="10"/>
  <c r="T8" i="10"/>
  <c r="T7" i="10"/>
  <c r="U8" i="10"/>
  <c r="V8" i="10" s="1"/>
  <c r="G16" i="9" s="1"/>
  <c r="U7" i="10"/>
  <c r="V7" i="10" s="1"/>
  <c r="G15" i="9" s="1"/>
  <c r="V49" i="10" l="1"/>
  <c r="G57" i="9" s="1"/>
</calcChain>
</file>

<file path=xl/sharedStrings.xml><?xml version="1.0" encoding="utf-8"?>
<sst xmlns="http://schemas.openxmlformats.org/spreadsheetml/2006/main" count="219" uniqueCount="143">
  <si>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</si>
  <si>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</si>
  <si>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</si>
  <si>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</si>
  <si>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</si>
  <si>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</si>
  <si>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</si>
  <si>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</si>
  <si>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</si>
  <si>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</si>
  <si>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</si>
  <si>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</si>
  <si>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</si>
  <si>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</si>
  <si>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</si>
  <si>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</si>
  <si>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</si>
  <si>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</si>
  <si>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</si>
  <si>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</si>
  <si>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</si>
  <si>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</si>
  <si>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</si>
  <si>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</si>
  <si>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</si>
  <si>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</si>
  <si>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</si>
  <si>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</si>
  <si>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</si>
  <si>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</si>
  <si>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</si>
  <si>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</si>
  <si>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</si>
  <si>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</si>
  <si>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</si>
  <si>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</si>
  <si>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 xml:space="preserve">  제출일자 : 2026.06.02</t>
    <phoneticPr fontId="3" type="noConversion"/>
  </si>
  <si>
    <t>NT3611415</t>
    <phoneticPr fontId="1" type="noConversion"/>
  </si>
  <si>
    <t>블록, 흰지용, 가스스프링</t>
    <phoneticPr fontId="1" type="noConversion"/>
  </si>
  <si>
    <t>KS D 3752, SM45C</t>
    <phoneticPr fontId="1" type="noConversion"/>
  </si>
  <si>
    <t>HRc 18-24</t>
    <phoneticPr fontId="1" type="noConversion"/>
  </si>
  <si>
    <t>NT3611416</t>
    <phoneticPr fontId="1" type="noConversion"/>
  </si>
  <si>
    <t>블록, 흰지용, 리프트용</t>
    <phoneticPr fontId="1" type="noConversion"/>
  </si>
  <si>
    <t>NT3611417</t>
    <phoneticPr fontId="1" type="noConversion"/>
  </si>
  <si>
    <t>축, 회전용</t>
    <phoneticPr fontId="1" type="noConversion"/>
  </si>
  <si>
    <t>HRc 18-24</t>
    <phoneticPr fontId="1" type="noConversion"/>
  </si>
  <si>
    <t>NT3611418</t>
    <phoneticPr fontId="1" type="noConversion"/>
  </si>
  <si>
    <t>막음판, 축용</t>
    <phoneticPr fontId="1" type="noConversion"/>
  </si>
  <si>
    <t>NT3611421</t>
    <phoneticPr fontId="1" type="noConversion"/>
  </si>
  <si>
    <t>축, 회전용</t>
    <phoneticPr fontId="1" type="noConversion"/>
  </si>
  <si>
    <t xml:space="preserve">축, 회전용 </t>
    <phoneticPr fontId="1" type="noConversion"/>
  </si>
  <si>
    <t>NT3611425</t>
    <phoneticPr fontId="1" type="noConversion"/>
  </si>
  <si>
    <t>바, 링크용</t>
    <phoneticPr fontId="1" type="noConversion"/>
  </si>
  <si>
    <t>HRc 28-32</t>
    <phoneticPr fontId="1" type="noConversion"/>
  </si>
  <si>
    <t>KS D 3867, SCM 440</t>
    <phoneticPr fontId="1" type="noConversion"/>
  </si>
  <si>
    <t>도면 점검 필요 2종으로 판단
건드릴 가공필요</t>
    <phoneticPr fontId="1" type="noConversion"/>
  </si>
  <si>
    <t>NT3611426</t>
    <phoneticPr fontId="1" type="noConversion"/>
  </si>
  <si>
    <t xml:space="preserve">바, 링크용 </t>
    <phoneticPr fontId="1" type="noConversion"/>
  </si>
  <si>
    <t>NT3611427</t>
    <phoneticPr fontId="1" type="noConversion"/>
  </si>
  <si>
    <t>로드, 링크용</t>
    <phoneticPr fontId="1" type="noConversion"/>
  </si>
  <si>
    <t>NT3611428</t>
    <phoneticPr fontId="1" type="noConversion"/>
  </si>
  <si>
    <t xml:space="preserve">로드, 링크용 </t>
    <phoneticPr fontId="1" type="noConversion"/>
  </si>
  <si>
    <t>특수공정필요</t>
    <phoneticPr fontId="1" type="noConversion"/>
  </si>
  <si>
    <t>NT3611431</t>
    <phoneticPr fontId="1" type="noConversion"/>
  </si>
  <si>
    <t>로드, 턴버클용</t>
    <phoneticPr fontId="1" type="noConversion"/>
  </si>
  <si>
    <t>NT3611432-1</t>
    <phoneticPr fontId="1" type="noConversion"/>
  </si>
  <si>
    <t>조인트, 아이엔드</t>
    <phoneticPr fontId="1" type="noConversion"/>
  </si>
  <si>
    <t>NT3611433</t>
    <phoneticPr fontId="1" type="noConversion"/>
  </si>
  <si>
    <t>핀, 회전용</t>
    <phoneticPr fontId="1" type="noConversion"/>
  </si>
  <si>
    <t>HRc 29-35</t>
    <phoneticPr fontId="1" type="noConversion"/>
  </si>
  <si>
    <t>KS D 3706의 STS630</t>
    <phoneticPr fontId="1" type="noConversion"/>
  </si>
  <si>
    <t>NT3611434</t>
    <phoneticPr fontId="1" type="noConversion"/>
  </si>
  <si>
    <t>NT3611411</t>
    <phoneticPr fontId="1" type="noConversion"/>
  </si>
  <si>
    <t>프레임. 흰지용</t>
    <phoneticPr fontId="1" type="noConversion"/>
  </si>
  <si>
    <t>AL6061-T651, T6</t>
    <phoneticPr fontId="1" type="noConversion"/>
  </si>
  <si>
    <t>NT3611412</t>
    <phoneticPr fontId="1" type="noConversion"/>
  </si>
  <si>
    <t>프레임, 링크용, 좌측용</t>
    <phoneticPr fontId="1" type="noConversion"/>
  </si>
  <si>
    <t>NT3611413</t>
    <phoneticPr fontId="1" type="noConversion"/>
  </si>
  <si>
    <t>프레임, 링크용, 우측용</t>
    <phoneticPr fontId="1" type="noConversion"/>
  </si>
  <si>
    <t>M8 RECOIL TAP</t>
    <phoneticPr fontId="1" type="noConversion"/>
  </si>
  <si>
    <t>NT3611363</t>
    <phoneticPr fontId="1" type="noConversion"/>
  </si>
  <si>
    <t>블록, 고각 고정용</t>
    <phoneticPr fontId="1" type="noConversion"/>
  </si>
  <si>
    <t>HRc 29-35</t>
    <phoneticPr fontId="1" type="noConversion"/>
  </si>
  <si>
    <t>소재 확인 필요</t>
    <phoneticPr fontId="1" type="noConversion"/>
  </si>
  <si>
    <t>NT3611381</t>
    <phoneticPr fontId="1" type="noConversion"/>
  </si>
  <si>
    <t>위치 결정핀</t>
    <phoneticPr fontId="1" type="noConversion"/>
  </si>
  <si>
    <t>AL2024-T3</t>
    <phoneticPr fontId="1" type="noConversion"/>
  </si>
  <si>
    <t>NT3611382</t>
    <phoneticPr fontId="1" type="noConversion"/>
  </si>
  <si>
    <t>블록, 커넥터용</t>
    <phoneticPr fontId="1" type="noConversion"/>
  </si>
  <si>
    <t>AL2024-T3</t>
    <phoneticPr fontId="1" type="noConversion"/>
  </si>
  <si>
    <t>NT3611383</t>
    <phoneticPr fontId="1" type="noConversion"/>
  </si>
  <si>
    <t>핀, 축용</t>
    <phoneticPr fontId="1" type="noConversion"/>
  </si>
  <si>
    <t>브로칭 OR 방전필요</t>
    <phoneticPr fontId="1" type="noConversion"/>
  </si>
  <si>
    <t>NT3611385</t>
    <phoneticPr fontId="1" type="noConversion"/>
  </si>
  <si>
    <t>핀, 테이퍼형</t>
    <phoneticPr fontId="1" type="noConversion"/>
  </si>
  <si>
    <t>NT3611326</t>
    <phoneticPr fontId="1" type="noConversion"/>
  </si>
  <si>
    <t>블록, 잠금용</t>
    <phoneticPr fontId="1" type="noConversion"/>
  </si>
  <si>
    <t>NT3611341</t>
    <phoneticPr fontId="1" type="noConversion"/>
  </si>
  <si>
    <t>브래킷, 지지용</t>
    <phoneticPr fontId="1" type="noConversion"/>
  </si>
  <si>
    <t>NT3611350</t>
    <phoneticPr fontId="1" type="noConversion"/>
  </si>
  <si>
    <t>하우징, 잠금장치용</t>
    <phoneticPr fontId="1" type="noConversion"/>
  </si>
  <si>
    <t>NR3611352</t>
    <phoneticPr fontId="1" type="noConversion"/>
  </si>
  <si>
    <t>푸셔, 잠금장치용</t>
    <phoneticPr fontId="1" type="noConversion"/>
  </si>
  <si>
    <t>NT3611353</t>
    <phoneticPr fontId="1" type="noConversion"/>
  </si>
  <si>
    <t>위치 결정핀</t>
    <phoneticPr fontId="1" type="noConversion"/>
  </si>
  <si>
    <t>NT3611354</t>
    <phoneticPr fontId="1" type="noConversion"/>
  </si>
  <si>
    <t>핀, 래치형</t>
    <phoneticPr fontId="1" type="noConversion"/>
  </si>
  <si>
    <t>NT3611355</t>
    <phoneticPr fontId="1" type="noConversion"/>
  </si>
  <si>
    <t>핀, 잠금용</t>
    <phoneticPr fontId="1" type="noConversion"/>
  </si>
  <si>
    <t>NT3611356</t>
    <phoneticPr fontId="1" type="noConversion"/>
  </si>
  <si>
    <t>핀, 유두형</t>
    <phoneticPr fontId="1" type="noConversion"/>
  </si>
  <si>
    <t>NT3611357</t>
    <phoneticPr fontId="1" type="noConversion"/>
  </si>
  <si>
    <t>핀, 가이드용</t>
    <phoneticPr fontId="1" type="noConversion"/>
  </si>
  <si>
    <t>NT3611213</t>
    <phoneticPr fontId="1" type="noConversion"/>
  </si>
  <si>
    <t>블록, 회전용</t>
    <phoneticPr fontId="1" type="noConversion"/>
  </si>
  <si>
    <t>NT3611122</t>
    <phoneticPr fontId="1" type="noConversion"/>
  </si>
  <si>
    <t>블록, 구동기용</t>
    <phoneticPr fontId="1" type="noConversion"/>
  </si>
  <si>
    <t>NT3611123</t>
    <phoneticPr fontId="1" type="noConversion"/>
  </si>
  <si>
    <t>블록, 실린더용</t>
    <phoneticPr fontId="1" type="noConversion"/>
  </si>
  <si>
    <t>NR3611124</t>
    <phoneticPr fontId="1" type="noConversion"/>
  </si>
  <si>
    <t>블록, 고각용</t>
    <phoneticPr fontId="1" type="noConversion"/>
  </si>
  <si>
    <t>NT3611125</t>
    <phoneticPr fontId="1" type="noConversion"/>
  </si>
  <si>
    <t>블록, 링크용</t>
    <phoneticPr fontId="1" type="noConversion"/>
  </si>
  <si>
    <t>NT3611126</t>
    <phoneticPr fontId="1" type="noConversion"/>
  </si>
  <si>
    <t>블록, 링크힌지용</t>
    <phoneticPr fontId="1" type="noConversion"/>
  </si>
  <si>
    <t>NT3611129</t>
    <phoneticPr fontId="1" type="noConversion"/>
  </si>
  <si>
    <t>블록, 고정용</t>
    <phoneticPr fontId="1" type="noConversion"/>
  </si>
  <si>
    <t>NT3611202</t>
    <phoneticPr fontId="1" type="noConversion"/>
  </si>
  <si>
    <t>블록, 잠금용</t>
    <phoneticPr fontId="1" type="noConversion"/>
  </si>
  <si>
    <t>NT3611203</t>
    <phoneticPr fontId="1" type="noConversion"/>
  </si>
  <si>
    <t>NT3611204</t>
    <phoneticPr fontId="1" type="noConversion"/>
  </si>
  <si>
    <t>힌지, 고정용</t>
    <phoneticPr fontId="1" type="noConversion"/>
  </si>
  <si>
    <t>NT3611205</t>
    <phoneticPr fontId="1" type="noConversion"/>
  </si>
  <si>
    <t>힌지, 회전용</t>
    <phoneticPr fontId="1" type="noConversion"/>
  </si>
  <si>
    <t>NT3611206</t>
    <phoneticPr fontId="1" type="noConversion"/>
  </si>
  <si>
    <t>블록, 링크용</t>
    <phoneticPr fontId="1" type="noConversion"/>
  </si>
  <si>
    <t>Coment : 3 4 5 6 7 8 12 13 20 21 27 28 29 30 39번 선반 품목 
            특수 공정 필요 : 6 7 41 (건드릴) // 9 10 (로드 길이가 김) // 20 39 (브로칭 Or 방전)</t>
    <phoneticPr fontId="1" type="noConversion"/>
  </si>
  <si>
    <t>Ø8.05 건드릴 필요 
* 작업 불가</t>
    <phoneticPr fontId="1" type="noConversion"/>
  </si>
  <si>
    <t>No</t>
    <phoneticPr fontId="1" type="noConversion"/>
  </si>
  <si>
    <t xml:space="preserve"> 품 번</t>
    <phoneticPr fontId="1" type="noConversion"/>
  </si>
  <si>
    <t>품 명</t>
    <phoneticPr fontId="1" type="noConversion"/>
  </si>
  <si>
    <t>견적 단가</t>
    <phoneticPr fontId="1" type="noConversion"/>
  </si>
  <si>
    <t xml:space="preserve"> 합 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</si>
</sst>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&quot;₩&quot;#,##0_);[Red]\(&quot;₩&quot;#,##0\)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19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1" fillId="0" borderId="0" xfId="8" applyFont="1" applyAlignment="1">
      <alignment horizontal="right" vertical="center" wrapText="1"/>
    </xf>
    <xf numFmtId="0" fontId="22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0" fillId="0" borderId="0" xfId="8" applyFont="1" applyAlignment="1">
      <alignment vertical="center" wrapText="1"/>
    </xf>
    <xf numFmtId="0" fontId="24" fillId="0" borderId="0" xfId="8" applyFont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11" applyFont="1" applyBorder="1" applyAlignment="1">
      <alignment horizontal="center" vertical="center"/>
    </xf>
    <xf numFmtId="178" fontId="24" fillId="0" borderId="7" xfId="1" applyNumberFormat="1" applyFont="1" applyFill="1" applyBorder="1" applyAlignment="1">
      <alignment horizontal="center" vertical="center"/>
    </xf>
    <xf numFmtId="0" fontId="19" fillId="0" borderId="9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2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2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2" fillId="0" borderId="0" xfId="8" applyNumberFormat="1" applyFont="1" applyAlignment="1">
      <alignment horizontal="left" vertical="center" wrapText="1"/>
    </xf>
    <xf numFmtId="0" fontId="19" fillId="0" borderId="4" xfId="11" applyFont="1" applyBorder="1" applyAlignment="1">
      <alignment horizontal="center" vertical="center" wrapText="1" shrinkToFit="1"/>
    </xf>
    <xf numFmtId="178" fontId="24" fillId="0" borderId="4" xfId="1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11" applyFont="1" applyBorder="1" applyAlignment="1">
      <alignment horizontal="center" vertical="center"/>
    </xf>
    <xf numFmtId="0" fontId="12" fillId="0" borderId="4" xfId="8" applyFont="1" applyBorder="1">
      <alignment vertical="center"/>
    </xf>
    <xf numFmtId="181" fontId="16" fillId="0" borderId="4" xfId="11" applyNumberFormat="1" applyFont="1" applyBorder="1" applyAlignment="1">
      <alignment horizontal="center" vertical="center"/>
    </xf>
    <xf numFmtId="182" fontId="16" fillId="0" borderId="4" xfId="11" applyNumberFormat="1" applyFont="1" applyBorder="1" applyAlignment="1">
      <alignment horizontal="center" vertical="center"/>
    </xf>
    <xf numFmtId="183" fontId="16" fillId="0" borderId="4" xfId="11" applyNumberFormat="1" applyFont="1" applyBorder="1" applyAlignment="1">
      <alignment horizontal="center" vertical="center" shrinkToFit="1"/>
    </xf>
    <xf numFmtId="41" fontId="25" fillId="2" borderId="5" xfId="1" applyFont="1" applyFill="1" applyBorder="1" applyAlignment="1">
      <alignment horizontal="center" vertical="center"/>
    </xf>
    <xf numFmtId="181" fontId="14" fillId="0" borderId="7" xfId="8" applyNumberFormat="1" applyFont="1" applyBorder="1" applyAlignment="1">
      <alignment horizontal="center" vertical="center"/>
    </xf>
    <xf numFmtId="182" fontId="14" fillId="0" borderId="7" xfId="8" applyNumberFormat="1" applyFont="1" applyBorder="1" applyAlignment="1">
      <alignment horizontal="center" vertical="center"/>
    </xf>
    <xf numFmtId="183" fontId="6" fillId="0" borderId="7" xfId="0" applyNumberFormat="1" applyFont="1" applyBorder="1" applyAlignment="1">
      <alignment horizontal="center" vertical="center"/>
    </xf>
    <xf numFmtId="41" fontId="25" fillId="0" borderId="8" xfId="1" applyFont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7" fillId="3" borderId="12" xfId="11" applyFont="1" applyFill="1" applyBorder="1" applyAlignment="1">
      <alignment horizontal="center" vertical="center" shrinkToFit="1"/>
    </xf>
    <xf numFmtId="0" fontId="18" fillId="3" borderId="12" xfId="11" applyFont="1" applyFill="1" applyBorder="1" applyAlignment="1">
      <alignment horizontal="center" vertical="center" shrinkToFit="1"/>
    </xf>
    <xf numFmtId="0" fontId="18" fillId="3" borderId="12" xfId="11" applyFont="1" applyFill="1" applyBorder="1" applyAlignment="1">
      <alignment horizontal="center" vertical="center" wrapText="1"/>
    </xf>
    <xf numFmtId="179" fontId="18" fillId="3" borderId="12" xfId="12" applyNumberFormat="1" applyFont="1" applyFill="1" applyBorder="1" applyAlignment="1">
      <alignment horizontal="center" vertical="center"/>
    </xf>
    <xf numFmtId="0" fontId="25" fillId="3" borderId="12" xfId="8" applyFont="1" applyFill="1" applyBorder="1" applyAlignment="1">
      <alignment horizontal="center" vertical="center"/>
    </xf>
    <xf numFmtId="0" fontId="25" fillId="3" borderId="16" xfId="8" applyFont="1" applyFill="1" applyBorder="1" applyAlignment="1">
      <alignment horizontal="center" vertical="center"/>
    </xf>
    <xf numFmtId="41" fontId="27" fillId="2" borderId="10" xfId="1" applyFont="1" applyFill="1" applyBorder="1" applyAlignment="1"/>
    <xf numFmtId="0" fontId="28" fillId="0" borderId="0" xfId="8" applyFont="1" applyAlignment="1">
      <alignment horizontal="centerContinuous" vertical="center"/>
    </xf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>
      <alignment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 applyAlignment="1">
      <alignment horizontal="left" vertical="center"/>
    </xf>
    <xf numFmtId="0" fontId="36" fillId="0" borderId="0" xfId="8" applyFont="1">
      <alignment vertical="center"/>
    </xf>
    <xf numFmtId="0" fontId="35" fillId="0" borderId="0" xfId="8" applyFont="1">
      <alignment vertical="center"/>
    </xf>
    <xf numFmtId="0" fontId="37" fillId="0" borderId="0" xfId="8" applyFont="1">
      <alignment vertical="center"/>
    </xf>
    <xf numFmtId="0" fontId="37" fillId="0" borderId="0" xfId="9" applyFont="1">
      <alignment vertical="center"/>
    </xf>
    <xf numFmtId="0" fontId="25" fillId="3" borderId="15" xfId="8" applyFont="1" applyFill="1" applyBorder="1" applyAlignment="1">
      <alignment horizontal="center" vertical="center"/>
    </xf>
    <xf numFmtId="178" fontId="24" fillId="0" borderId="17" xfId="1" applyNumberFormat="1" applyFont="1" applyFill="1" applyBorder="1" applyAlignment="1">
      <alignment horizontal="center" vertical="center"/>
    </xf>
    <xf numFmtId="178" fontId="24" fillId="0" borderId="18" xfId="1" applyNumberFormat="1" applyFont="1" applyFill="1" applyBorder="1" applyAlignment="1">
      <alignment horizontal="center" vertical="center"/>
    </xf>
    <xf numFmtId="178" fontId="24" fillId="4" borderId="8" xfId="1" applyNumberFormat="1" applyFont="1" applyFill="1" applyBorder="1" applyAlignment="1">
      <alignment horizontal="center" vertical="center"/>
    </xf>
    <xf numFmtId="178" fontId="24" fillId="0" borderId="5" xfId="1" applyNumberFormat="1" applyFont="1" applyFill="1" applyBorder="1" applyAlignment="1">
      <alignment horizontal="center" vertical="center"/>
    </xf>
    <xf numFmtId="0" fontId="19" fillId="0" borderId="7" xfId="11" applyFont="1" applyBorder="1" applyAlignment="1">
      <alignment horizontal="center" vertical="center" wrapText="1" shrinkToFit="1"/>
    </xf>
    <xf numFmtId="180" fontId="19" fillId="0" borderId="7" xfId="11" applyNumberFormat="1" applyFont="1" applyBorder="1" applyAlignment="1">
      <alignment horizontal="left" vertical="center" indent="1" shrinkToFit="1"/>
    </xf>
    <xf numFmtId="180" fontId="19" fillId="0" borderId="4" xfId="11" applyNumberFormat="1" applyFont="1" applyBorder="1" applyAlignment="1">
      <alignment horizontal="left" vertical="center" indent="1" shrinkToFit="1"/>
    </xf>
    <xf numFmtId="0" fontId="19" fillId="0" borderId="4" xfId="11" applyFont="1" applyBorder="1" applyAlignment="1">
      <alignment horizontal="left" vertical="center" indent="1" shrinkToFit="1"/>
    </xf>
    <xf numFmtId="0" fontId="12" fillId="0" borderId="7" xfId="8" applyFont="1" applyBorder="1" applyAlignment="1">
      <alignment horizontal="left" vertical="center" indent="1"/>
    </xf>
    <xf numFmtId="0" fontId="24" fillId="0" borderId="2" xfId="8" applyFont="1" applyBorder="1" applyAlignment="1">
      <alignment horizontal="center" vertical="center"/>
    </xf>
    <xf numFmtId="0" fontId="24" fillId="0" borderId="1" xfId="8" applyFont="1" applyBorder="1" applyAlignment="1">
      <alignment horizontal="center" vertical="center"/>
    </xf>
    <xf numFmtId="0" fontId="37" fillId="0" borderId="0" xfId="8" applyFont="1">
      <alignment vertical="center"/>
    </xf>
    <xf numFmtId="0" fontId="37" fillId="0" borderId="0" xfId="8" applyFont="1" applyAlignment="1">
      <alignment horizontal="left" vertical="center"/>
    </xf>
    <xf numFmtId="0" fontId="23" fillId="0" borderId="0" xfId="8" applyFont="1" applyAlignment="1">
      <alignment horizontal="left"/>
    </xf>
    <xf numFmtId="14" fontId="23" fillId="0" borderId="0" xfId="8" applyNumberFormat="1" applyFont="1" applyAlignment="1">
      <alignment horizontal="left"/>
    </xf>
    <xf numFmtId="0" fontId="17" fillId="3" borderId="13" xfId="11" applyFont="1" applyFill="1" applyBorder="1" applyAlignment="1">
      <alignment horizontal="center" vertical="center" shrinkToFit="1"/>
    </xf>
    <xf numFmtId="0" fontId="17" fillId="3" borderId="14" xfId="11" applyFont="1" applyFill="1" applyBorder="1" applyAlignment="1">
      <alignment horizontal="center" vertical="center" shrinkToFit="1"/>
    </xf>
    <xf numFmtId="0" fontId="17" fillId="3" borderId="15" xfId="11" applyFont="1" applyFill="1" applyBorder="1" applyAlignment="1">
      <alignment horizontal="center" vertical="center" shrinkToFit="1"/>
    </xf>
    <xf numFmtId="0" fontId="38" fillId="0" borderId="0" xfId="8" applyFont="1" applyAlignment="1">
      <alignment horizontal="left" vertical="center" wrapText="1" indent="1"/>
    </xf>
    <xf numFmtId="0" fontId="38" fillId="0" borderId="0" xfId="8" applyFont="1" applyAlignment="1">
      <alignment horizontal="left" vertical="center" indent="1"/>
    </xf>
    <xf numFmtId="182" fontId="14" fillId="0" borderId="7" xfId="8" applyNumberFormat="1" applyFont="1" applyFill="1" applyBorder="1" applyAlignment="1">
      <alignment horizontal="center" vertical="center"/>
    </xf>
    <xf numFmtId="0" fontId="39" fillId="0" borderId="9" xfId="11" applyFont="1" applyFill="1" applyBorder="1" applyAlignment="1">
      <alignment horizontal="center" vertical="center"/>
    </xf>
    <xf numFmtId="0" fontId="19" fillId="0" borderId="9" xfId="11" applyFont="1" applyBorder="1" applyAlignment="1">
      <alignment horizontal="center" vertical="center" wrapText="1"/>
    </xf>
    <xf numFmtId="180" fontId="19" fillId="5" borderId="7" xfId="11" applyNumberFormat="1" applyFont="1" applyFill="1" applyBorder="1" applyAlignment="1">
      <alignment horizontal="left" vertical="center" indent="1" shrinkToFit="1"/>
    </xf>
    <xf numFmtId="180" fontId="19" fillId="6" borderId="7" xfId="11" applyNumberFormat="1" applyFont="1" applyFill="1" applyBorder="1" applyAlignment="1">
      <alignment horizontal="left" vertical="center" indent="1" shrinkToFit="1"/>
    </xf>
    <xf numFmtId="0" fontId="10" fillId="0" borderId="23" xfId="8" applyFont="1" applyBorder="1">
      <alignment vertical="center"/>
    </xf>
    <xf numFmtId="0" fontId="10" fillId="0" borderId="24" xfId="8" applyFont="1" applyBorder="1" applyAlignment="1">
      <alignment horizontal="center" vertical="center"/>
    </xf>
    <xf numFmtId="0" fontId="10" fillId="0" borderId="25" xfId="8" applyFont="1" applyBorder="1" applyAlignment="1">
      <alignment horizontal="center" vertical="center"/>
    </xf>
    <xf numFmtId="0" fontId="10" fillId="0" borderId="20" xfId="8" applyFont="1" applyBorder="1" applyAlignment="1">
      <alignment horizontal="center" vertical="center"/>
    </xf>
    <xf numFmtId="0" fontId="10" fillId="0" borderId="30" xfId="8" applyFont="1" applyBorder="1" applyAlignment="1">
      <alignment horizontal="center" vertical="center"/>
    </xf>
    <xf numFmtId="0" fontId="10" fillId="0" borderId="28" xfId="8" applyFont="1" applyBorder="1" applyAlignment="1">
      <alignment horizontal="left" vertical="center" indent="1"/>
    </xf>
    <xf numFmtId="0" fontId="10" fillId="0" borderId="29" xfId="8" applyFont="1" applyBorder="1" applyAlignment="1">
      <alignment horizontal="left" vertical="center" indent="1"/>
    </xf>
    <xf numFmtId="0" fontId="10" fillId="0" borderId="21" xfId="8" applyFont="1" applyBorder="1" applyAlignment="1">
      <alignment horizontal="left" vertical="center" indent="1"/>
    </xf>
    <xf numFmtId="0" fontId="10" fillId="0" borderId="26" xfId="8" applyFont="1" applyBorder="1" applyAlignment="1">
      <alignment horizontal="left" vertical="center" indent="1"/>
    </xf>
    <xf numFmtId="0" fontId="10" fillId="0" borderId="27" xfId="8" applyFont="1" applyBorder="1" applyAlignment="1">
      <alignment horizontal="left" vertical="center" indent="1"/>
    </xf>
    <xf numFmtId="0" fontId="10" fillId="0" borderId="19" xfId="8" applyFont="1" applyBorder="1" applyAlignment="1">
      <alignment horizontal="left" vertical="center" indent="1"/>
    </xf>
    <xf numFmtId="0" fontId="10" fillId="0" borderId="31" xfId="8" applyFont="1" applyBorder="1" applyAlignment="1">
      <alignment horizontal="left" vertical="center" indent="1"/>
    </xf>
    <xf numFmtId="0" fontId="10" fillId="0" borderId="32" xfId="8" applyFont="1" applyBorder="1" applyAlignment="1">
      <alignment horizontal="left" vertical="center" indent="1"/>
    </xf>
    <xf numFmtId="0" fontId="10" fillId="0" borderId="33" xfId="8" applyFont="1" applyBorder="1" applyAlignment="1">
      <alignment horizontal="left" vertical="center" indent="1"/>
    </xf>
    <xf numFmtId="0" fontId="10" fillId="0" borderId="36" xfId="8" applyFont="1" applyBorder="1" applyAlignment="1">
      <alignment horizontal="left" vertical="center" indent="1"/>
    </xf>
    <xf numFmtId="0" fontId="10" fillId="0" borderId="37" xfId="8" applyFont="1" applyBorder="1" applyAlignment="1">
      <alignment horizontal="left" vertical="center" indent="1"/>
    </xf>
    <xf numFmtId="0" fontId="10" fillId="0" borderId="38" xfId="8" applyFont="1" applyBorder="1" applyAlignment="1">
      <alignment horizontal="left" vertical="center" indent="1"/>
    </xf>
    <xf numFmtId="0" fontId="10" fillId="0" borderId="39" xfId="8" applyFont="1" applyBorder="1" applyAlignment="1">
      <alignment horizontal="left" vertical="center" indent="1"/>
    </xf>
    <xf numFmtId="176" fontId="10" fillId="0" borderId="21" xfId="8" applyNumberFormat="1" applyFont="1" applyBorder="1" applyAlignment="1">
      <alignment horizontal="right" vertical="center" indent="1"/>
    </xf>
    <xf numFmtId="176" fontId="10" fillId="0" borderId="22" xfId="8" applyNumberFormat="1" applyFont="1" applyBorder="1" applyAlignment="1">
      <alignment horizontal="right" vertical="center" indent="1"/>
    </xf>
    <xf numFmtId="176" fontId="10" fillId="0" borderId="34" xfId="8" applyNumberFormat="1" applyFont="1" applyBorder="1" applyAlignment="1">
      <alignment horizontal="right" vertical="center" indent="1"/>
    </xf>
    <xf numFmtId="176" fontId="10" fillId="0" borderId="35" xfId="8" applyNumberFormat="1" applyFont="1" applyBorder="1" applyAlignment="1">
      <alignment horizontal="right" vertical="center" indent="1"/>
    </xf>
    <xf numFmtId="176" fontId="10" fillId="0" borderId="39" xfId="8" applyNumberFormat="1" applyFont="1" applyBorder="1" applyAlignment="1">
      <alignment horizontal="right" vertical="center" indent="1"/>
    </xf>
    <xf numFmtId="176" fontId="10" fillId="0" borderId="40" xfId="8" applyNumberFormat="1" applyFont="1" applyBorder="1" applyAlignment="1">
      <alignment horizontal="right" vertical="center" indent="1"/>
    </xf>
  </cellXfs>
  <cellStyles count="13">
    <cellStyle name="쉼표 [0] 2" xfId="1"/>
    <cellStyle name="표준" xfId="0" builtinId="0"/>
    <cellStyle name="표준 10" xfId="2"/>
    <cellStyle name="표준 2" xfId="3"/>
    <cellStyle name="표준 2 2" xfId="4"/>
    <cellStyle name="표준 2 3" xfId="5"/>
    <cellStyle name="표준 2 4" xfId="6"/>
    <cellStyle name="표준 3" xfId="7"/>
    <cellStyle name="표준 3 10" xfId="8"/>
    <cellStyle name="표준 3 10 2" xfId="9"/>
    <cellStyle name="표준 4" xfId="10"/>
    <cellStyle name="표준 5" xfId="11"/>
    <cellStyle name="표준 7" xfId="12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48567"/>
  <sheetViews>
    <sheetView topLeftCell="B10" workbookViewId="0">
      <selection activeCell="E26" sqref="E26:F26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57" t="s">
        <v>2</v>
      </c>
      <c r="C1" s="58"/>
      <c r="D1" s="58"/>
      <c r="E1" s="58"/>
      <c r="F1" s="58"/>
      <c r="G1" s="58"/>
      <c r="H1" s="58"/>
    </row>
    <row r="2" spans="2:8" ht="27" x14ac:dyDescent="0.3">
      <c r="B2" s="59"/>
      <c r="C2" s="60"/>
      <c r="D2" s="60"/>
      <c r="E2" s="60"/>
      <c r="F2" s="60"/>
      <c r="G2" s="60"/>
      <c r="H2" s="60"/>
    </row>
    <row r="3" spans="2:8" x14ac:dyDescent="0.3">
      <c r="B3" s="61"/>
      <c r="C3" s="61"/>
      <c r="D3" s="61"/>
      <c r="E3" s="61"/>
      <c r="F3" s="62"/>
      <c r="G3" s="63"/>
      <c r="H3" s="63"/>
    </row>
    <row r="4" spans="2:8" ht="39.950000000000003" customHeight="1" x14ac:dyDescent="0.3">
      <c r="B4" s="64" t="s">
        <v>29</v>
      </c>
      <c r="C4" s="65"/>
      <c r="D4" s="65"/>
      <c r="E4" s="65"/>
      <c r="F4" s="66"/>
      <c r="G4" s="66"/>
      <c r="H4" s="66"/>
    </row>
    <row r="5" spans="2:8" ht="21" customHeight="1" x14ac:dyDescent="0.3">
      <c r="B5" s="81" t="s">
        <v>31</v>
      </c>
      <c r="C5" s="81"/>
      <c r="D5" s="81"/>
      <c r="E5" s="81"/>
      <c r="F5" s="67" t="s">
        <v>30</v>
      </c>
      <c r="G5" s="67"/>
      <c r="H5" s="67"/>
    </row>
    <row r="6" spans="2:8" ht="24.75" customHeight="1" x14ac:dyDescent="0.3">
      <c r="B6" s="81" t="s">
        <v>1</v>
      </c>
      <c r="C6" s="81"/>
      <c r="D6" s="81"/>
      <c r="E6" s="81"/>
      <c r="F6" s="67" t="s">
        <v>26</v>
      </c>
      <c r="G6" s="67"/>
      <c r="H6" s="67"/>
    </row>
    <row r="7" spans="2:8" ht="24.75" customHeight="1" x14ac:dyDescent="0.3">
      <c r="B7" s="81" t="s">
        <v>36</v>
      </c>
      <c r="C7" s="81"/>
      <c r="D7" s="81"/>
      <c r="E7" s="81"/>
      <c r="F7" s="82" t="s">
        <v>27</v>
      </c>
      <c r="G7" s="82"/>
      <c r="H7" s="82"/>
    </row>
    <row r="8" spans="2:8" ht="24.75" customHeight="1" x14ac:dyDescent="0.3">
      <c r="B8" s="68" t="s">
        <v>25</v>
      </c>
      <c r="C8" s="67"/>
      <c r="D8" s="67"/>
      <c r="E8" s="67"/>
      <c r="F8" s="67" t="s">
        <v>28</v>
      </c>
      <c r="G8" s="67"/>
      <c r="H8" s="67"/>
    </row>
    <row r="9" spans="2:8" ht="24.75" customHeight="1" x14ac:dyDescent="0.3">
      <c r="B9" s="67" t="s">
        <v>0</v>
      </c>
      <c r="C9" s="67"/>
      <c r="D9" s="67"/>
      <c r="E9" s="67"/>
      <c r="F9" s="67" t="s">
        <v>35</v>
      </c>
      <c r="G9" s="67"/>
      <c r="H9" s="67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6.25" customHeight="1" thickBot="1" x14ac:dyDescent="0.35">
      <c r="B13" s="3"/>
      <c r="C13" s="3"/>
      <c r="D13" s="3"/>
      <c r="E13" s="3"/>
      <c r="F13" s="2"/>
      <c r="G13" s="3"/>
      <c r="H13" s="3"/>
    </row>
    <row r="14" spans="2:8" ht="24.75" customHeight="1" thickBot="1" x14ac:dyDescent="0.35">
      <c r="B14" s="95" t="s">
        <v>138</v>
      </c>
      <c r="C14" s="96" t="s">
        <v>139</v>
      </c>
      <c r="D14" s="96"/>
      <c r="E14" s="96" t="s">
        <v>140</v>
      </c>
      <c r="F14" s="96"/>
      <c r="G14" s="96" t="s">
        <v>141</v>
      </c>
      <c r="H14" s="97"/>
    </row>
    <row r="15" spans="2:8" ht="24.75" customHeight="1" thickTop="1" x14ac:dyDescent="0.3">
      <c r="B15" s="98">
        <f>ROW()-14</f>
        <v>1</v>
      </c>
      <c r="C15" s="100" t="str">
        <f>기계!$B7</f>
        <v>NT3611415</v>
      </c>
      <c r="D15" s="101"/>
      <c r="E15" s="102" t="str">
        <f>기계!$C7</f>
        <v>블록, 흰지용, 가스스프링</v>
      </c>
      <c r="F15" s="102"/>
      <c r="G15" s="113">
        <f>기계!$V7</f>
        <v>74000</v>
      </c>
      <c r="H15" s="114"/>
    </row>
    <row r="16" spans="2:8" ht="24.75" customHeight="1" x14ac:dyDescent="0.3">
      <c r="B16" s="98">
        <f t="shared" ref="B16:B56" si="0">ROW()-14</f>
        <v>2</v>
      </c>
      <c r="C16" s="103" t="str">
        <f>기계!$B8</f>
        <v>NT3611416</v>
      </c>
      <c r="D16" s="104"/>
      <c r="E16" s="105" t="str">
        <f>기계!$C8</f>
        <v>블록, 흰지용, 리프트용</v>
      </c>
      <c r="F16" s="105"/>
      <c r="G16" s="113">
        <f>기계!$V8</f>
        <v>88000</v>
      </c>
      <c r="H16" s="114"/>
    </row>
    <row r="17" spans="2:8" ht="24.75" customHeight="1" x14ac:dyDescent="0.3">
      <c r="B17" s="98">
        <f t="shared" si="0"/>
        <v>3</v>
      </c>
      <c r="C17" s="103" t="str">
        <f>기계!$B9</f>
        <v>NT3611417</v>
      </c>
      <c r="D17" s="104"/>
      <c r="E17" s="105" t="str">
        <f>기계!$C9</f>
        <v>축, 회전용</v>
      </c>
      <c r="F17" s="105"/>
      <c r="G17" s="113">
        <f>기계!$V9</f>
        <v>89000</v>
      </c>
      <c r="H17" s="114"/>
    </row>
    <row r="18" spans="2:8" ht="24.75" customHeight="1" x14ac:dyDescent="0.3">
      <c r="B18" s="98">
        <f t="shared" si="0"/>
        <v>4</v>
      </c>
      <c r="C18" s="103" t="str">
        <f>기계!$B10</f>
        <v>NT3611418</v>
      </c>
      <c r="D18" s="104"/>
      <c r="E18" s="105" t="str">
        <f>기계!$C10</f>
        <v>막음판, 축용</v>
      </c>
      <c r="F18" s="105"/>
      <c r="G18" s="113">
        <f>기계!$V10</f>
        <v>45000</v>
      </c>
      <c r="H18" s="114"/>
    </row>
    <row r="19" spans="2:8" ht="24.75" customHeight="1" x14ac:dyDescent="0.3">
      <c r="B19" s="98">
        <f t="shared" si="0"/>
        <v>5</v>
      </c>
      <c r="C19" s="103" t="str">
        <f>기계!$B11</f>
        <v>NT3611421</v>
      </c>
      <c r="D19" s="104"/>
      <c r="E19" s="105" t="str">
        <f>기계!$C11</f>
        <v xml:space="preserve">축, 회전용 </v>
      </c>
      <c r="F19" s="105"/>
      <c r="G19" s="113">
        <f>기계!$V11</f>
        <v>45000</v>
      </c>
      <c r="H19" s="114"/>
    </row>
    <row r="20" spans="2:8" ht="24.75" customHeight="1" x14ac:dyDescent="0.3">
      <c r="B20" s="98">
        <f t="shared" si="0"/>
        <v>6</v>
      </c>
      <c r="C20" s="103" t="str">
        <f>기계!$B12</f>
        <v>NT3611425</v>
      </c>
      <c r="D20" s="104"/>
      <c r="E20" s="105" t="str">
        <f>기계!$C12</f>
        <v>바, 링크용</v>
      </c>
      <c r="F20" s="105"/>
      <c r="G20" s="113">
        <f>기계!$V12</f>
        <v>239000</v>
      </c>
      <c r="H20" s="114"/>
    </row>
    <row r="21" spans="2:8" ht="24.75" customHeight="1" x14ac:dyDescent="0.3">
      <c r="B21" s="98">
        <f t="shared" si="0"/>
        <v>7</v>
      </c>
      <c r="C21" s="103" t="str">
        <f>기계!$B13</f>
        <v>NT3611426</v>
      </c>
      <c r="D21" s="104"/>
      <c r="E21" s="105" t="str">
        <f>기계!$C13</f>
        <v xml:space="preserve">바, 링크용 </v>
      </c>
      <c r="F21" s="105"/>
      <c r="G21" s="113">
        <f>기계!$V13</f>
        <v>239000</v>
      </c>
      <c r="H21" s="114"/>
    </row>
    <row r="22" spans="2:8" ht="24.75" customHeight="1" x14ac:dyDescent="0.3">
      <c r="B22" s="98">
        <f t="shared" si="0"/>
        <v>8</v>
      </c>
      <c r="C22" s="103" t="str">
        <f>기계!$B14</f>
        <v>NT3611427</v>
      </c>
      <c r="D22" s="104"/>
      <c r="E22" s="105" t="str">
        <f>기계!$C14</f>
        <v>로드, 링크용</v>
      </c>
      <c r="F22" s="105"/>
      <c r="G22" s="113">
        <f>기계!$V14</f>
        <v>53000</v>
      </c>
      <c r="H22" s="114"/>
    </row>
    <row r="23" spans="2:8" ht="24.75" customHeight="1" x14ac:dyDescent="0.3">
      <c r="B23" s="98">
        <f t="shared" si="0"/>
        <v>9</v>
      </c>
      <c r="C23" s="103" t="str">
        <f>기계!$B15</f>
        <v>NT3611428</v>
      </c>
      <c r="D23" s="104"/>
      <c r="E23" s="105" t="str">
        <f>기계!$C15</f>
        <v xml:space="preserve">로드, 링크용 </v>
      </c>
      <c r="F23" s="105"/>
      <c r="G23" s="113">
        <f>기계!$V15</f>
        <v>0</v>
      </c>
      <c r="H23" s="114"/>
    </row>
    <row r="24" spans="2:8" ht="24.75" customHeight="1" x14ac:dyDescent="0.3">
      <c r="B24" s="98">
        <f t="shared" si="0"/>
        <v>10</v>
      </c>
      <c r="C24" s="103" t="str">
        <f>기계!$B16</f>
        <v>NT3611431</v>
      </c>
      <c r="D24" s="104"/>
      <c r="E24" s="105" t="str">
        <f>기계!$C16</f>
        <v>로드, 턴버클용</v>
      </c>
      <c r="F24" s="105"/>
      <c r="G24" s="113">
        <f>기계!$V16</f>
        <v>0</v>
      </c>
      <c r="H24" s="114"/>
    </row>
    <row r="25" spans="2:8" ht="24.75" customHeight="1" x14ac:dyDescent="0.3">
      <c r="B25" s="98">
        <f t="shared" si="0"/>
        <v>11</v>
      </c>
      <c r="C25" s="103" t="str">
        <f>기계!$B17</f>
        <v>NT3611432-1</v>
      </c>
      <c r="D25" s="104"/>
      <c r="E25" s="105" t="str">
        <f>기계!$C17</f>
        <v>조인트, 아이엔드</v>
      </c>
      <c r="F25" s="105"/>
      <c r="G25" s="113">
        <f>기계!$V17</f>
        <v>51000</v>
      </c>
      <c r="H25" s="114"/>
    </row>
    <row r="26" spans="2:8" ht="24.75" customHeight="1" x14ac:dyDescent="0.3">
      <c r="B26" s="98">
        <f t="shared" si="0"/>
        <v>12</v>
      </c>
      <c r="C26" s="103" t="str">
        <f>기계!$B18</f>
        <v>NT3611433</v>
      </c>
      <c r="D26" s="104"/>
      <c r="E26" s="105" t="str">
        <f>기계!$C18</f>
        <v>핀, 회전용</v>
      </c>
      <c r="F26" s="105"/>
      <c r="G26" s="113">
        <f>기계!$V18</f>
        <v>42000</v>
      </c>
      <c r="H26" s="114"/>
    </row>
    <row r="27" spans="2:8" ht="24.75" customHeight="1" x14ac:dyDescent="0.3">
      <c r="B27" s="98">
        <f t="shared" si="0"/>
        <v>13</v>
      </c>
      <c r="C27" s="103" t="str">
        <f>기계!$B19</f>
        <v>NT3611434</v>
      </c>
      <c r="D27" s="104"/>
      <c r="E27" s="105" t="str">
        <f>기계!$C19</f>
        <v>핀, 회전용</v>
      </c>
      <c r="F27" s="105"/>
      <c r="G27" s="113">
        <f>기계!$V19</f>
        <v>38000</v>
      </c>
      <c r="H27" s="114"/>
    </row>
    <row r="28" spans="2:8" ht="24.75" customHeight="1" x14ac:dyDescent="0.3">
      <c r="B28" s="98">
        <f t="shared" si="0"/>
        <v>14</v>
      </c>
      <c r="C28" s="103" t="str">
        <f>기계!$B20</f>
        <v>NT3611411</v>
      </c>
      <c r="D28" s="104"/>
      <c r="E28" s="105" t="str">
        <f>기계!$C20</f>
        <v>프레임. 흰지용</v>
      </c>
      <c r="F28" s="105"/>
      <c r="G28" s="113">
        <f>기계!$V20</f>
        <v>66000</v>
      </c>
      <c r="H28" s="114"/>
    </row>
    <row r="29" spans="2:8" ht="24.75" customHeight="1" x14ac:dyDescent="0.3">
      <c r="B29" s="98">
        <f t="shared" si="0"/>
        <v>15</v>
      </c>
      <c r="C29" s="103" t="str">
        <f>기계!$B21</f>
        <v>NT3611412</v>
      </c>
      <c r="D29" s="104"/>
      <c r="E29" s="105" t="str">
        <f>기계!$C21</f>
        <v>프레임, 링크용, 좌측용</v>
      </c>
      <c r="F29" s="105"/>
      <c r="G29" s="113">
        <f>기계!$V21</f>
        <v>321000</v>
      </c>
      <c r="H29" s="114"/>
    </row>
    <row r="30" spans="2:8" ht="24.75" customHeight="1" x14ac:dyDescent="0.3">
      <c r="B30" s="98">
        <f t="shared" si="0"/>
        <v>16</v>
      </c>
      <c r="C30" s="103" t="str">
        <f>기계!$B22</f>
        <v>NT3611413</v>
      </c>
      <c r="D30" s="104"/>
      <c r="E30" s="105" t="str">
        <f>기계!$C22</f>
        <v>프레임, 링크용, 우측용</v>
      </c>
      <c r="F30" s="105"/>
      <c r="G30" s="113">
        <f>기계!$V22</f>
        <v>321000</v>
      </c>
      <c r="H30" s="114"/>
    </row>
    <row r="31" spans="2:8" ht="24.75" customHeight="1" x14ac:dyDescent="0.3">
      <c r="B31" s="98">
        <f t="shared" si="0"/>
        <v>17</v>
      </c>
      <c r="C31" s="103" t="str">
        <f>기계!$B23</f>
        <v>NT3611363</v>
      </c>
      <c r="D31" s="104"/>
      <c r="E31" s="105" t="str">
        <f>기계!$C23</f>
        <v>블록, 고각 고정용</v>
      </c>
      <c r="F31" s="105"/>
      <c r="G31" s="113">
        <f>기계!$V23</f>
        <v>114000</v>
      </c>
      <c r="H31" s="114"/>
    </row>
    <row r="32" spans="2:8" ht="24.75" customHeight="1" x14ac:dyDescent="0.3">
      <c r="B32" s="98">
        <f t="shared" si="0"/>
        <v>18</v>
      </c>
      <c r="C32" s="103" t="str">
        <f>기계!$B24</f>
        <v>NT3611381</v>
      </c>
      <c r="D32" s="104"/>
      <c r="E32" s="105" t="str">
        <f>기계!$C24</f>
        <v>위치 결정핀</v>
      </c>
      <c r="F32" s="105"/>
      <c r="G32" s="113">
        <f>기계!$V24</f>
        <v>79000</v>
      </c>
      <c r="H32" s="114"/>
    </row>
    <row r="33" spans="2:8" ht="24.75" customHeight="1" x14ac:dyDescent="0.3">
      <c r="B33" s="98">
        <f t="shared" si="0"/>
        <v>19</v>
      </c>
      <c r="C33" s="103" t="str">
        <f>기계!$B25</f>
        <v>NT3611382</v>
      </c>
      <c r="D33" s="104"/>
      <c r="E33" s="105" t="str">
        <f>기계!$C25</f>
        <v>블록, 커넥터용</v>
      </c>
      <c r="F33" s="105"/>
      <c r="G33" s="113">
        <f>기계!$V25</f>
        <v>114000</v>
      </c>
      <c r="H33" s="114"/>
    </row>
    <row r="34" spans="2:8" ht="24.75" customHeight="1" x14ac:dyDescent="0.3">
      <c r="B34" s="98">
        <f t="shared" si="0"/>
        <v>20</v>
      </c>
      <c r="C34" s="103" t="str">
        <f>기계!$B26</f>
        <v>NT3611383</v>
      </c>
      <c r="D34" s="104"/>
      <c r="E34" s="105" t="str">
        <f>기계!$C26</f>
        <v>핀, 축용</v>
      </c>
      <c r="F34" s="105"/>
      <c r="G34" s="113">
        <f>기계!$V26</f>
        <v>113000</v>
      </c>
      <c r="H34" s="114"/>
    </row>
    <row r="35" spans="2:8" ht="24.75" customHeight="1" x14ac:dyDescent="0.3">
      <c r="B35" s="98">
        <f t="shared" si="0"/>
        <v>21</v>
      </c>
      <c r="C35" s="103" t="str">
        <f>기계!$B27</f>
        <v>NT3611385</v>
      </c>
      <c r="D35" s="104"/>
      <c r="E35" s="105" t="str">
        <f>기계!$C27</f>
        <v>핀, 테이퍼형</v>
      </c>
      <c r="F35" s="105"/>
      <c r="G35" s="113">
        <f>기계!$V27</f>
        <v>45000</v>
      </c>
      <c r="H35" s="114"/>
    </row>
    <row r="36" spans="2:8" ht="24.75" customHeight="1" x14ac:dyDescent="0.3">
      <c r="B36" s="98">
        <f t="shared" si="0"/>
        <v>22</v>
      </c>
      <c r="C36" s="103" t="str">
        <f>기계!$B28</f>
        <v>NT3611326</v>
      </c>
      <c r="D36" s="104"/>
      <c r="E36" s="105" t="str">
        <f>기계!$C28</f>
        <v>블록, 잠금용</v>
      </c>
      <c r="F36" s="105"/>
      <c r="G36" s="113">
        <f>기계!$V28</f>
        <v>55000</v>
      </c>
      <c r="H36" s="114"/>
    </row>
    <row r="37" spans="2:8" ht="24.75" customHeight="1" x14ac:dyDescent="0.3">
      <c r="B37" s="98">
        <f t="shared" si="0"/>
        <v>23</v>
      </c>
      <c r="C37" s="103" t="str">
        <f>기계!$B29</f>
        <v>NT3611341</v>
      </c>
      <c r="D37" s="104"/>
      <c r="E37" s="105" t="str">
        <f>기계!$C29</f>
        <v>브래킷, 지지용</v>
      </c>
      <c r="F37" s="105"/>
      <c r="G37" s="113">
        <f>기계!$V29</f>
        <v>55000</v>
      </c>
      <c r="H37" s="114"/>
    </row>
    <row r="38" spans="2:8" ht="24.75" customHeight="1" x14ac:dyDescent="0.3">
      <c r="B38" s="98">
        <f t="shared" si="0"/>
        <v>24</v>
      </c>
      <c r="C38" s="103" t="str">
        <f>기계!$B30</f>
        <v>NT3611350</v>
      </c>
      <c r="D38" s="104"/>
      <c r="E38" s="105" t="str">
        <f>기계!$C30</f>
        <v>하우징, 잠금장치용</v>
      </c>
      <c r="F38" s="105"/>
      <c r="G38" s="113">
        <f>기계!$V30</f>
        <v>207000</v>
      </c>
      <c r="H38" s="114"/>
    </row>
    <row r="39" spans="2:8" ht="24.75" customHeight="1" x14ac:dyDescent="0.3">
      <c r="B39" s="98">
        <f t="shared" si="0"/>
        <v>25</v>
      </c>
      <c r="C39" s="103" t="str">
        <f>기계!$B31</f>
        <v>NR3611352</v>
      </c>
      <c r="D39" s="104"/>
      <c r="E39" s="105" t="str">
        <f>기계!$C31</f>
        <v>푸셔, 잠금장치용</v>
      </c>
      <c r="F39" s="105"/>
      <c r="G39" s="113">
        <f>기계!$V31</f>
        <v>63000</v>
      </c>
      <c r="H39" s="114"/>
    </row>
    <row r="40" spans="2:8" ht="24.75" customHeight="1" x14ac:dyDescent="0.3">
      <c r="B40" s="98">
        <f t="shared" si="0"/>
        <v>26</v>
      </c>
      <c r="C40" s="103" t="str">
        <f>기계!$B32</f>
        <v>NT3611353</v>
      </c>
      <c r="D40" s="104"/>
      <c r="E40" s="105" t="str">
        <f>기계!$C32</f>
        <v>위치 결정핀</v>
      </c>
      <c r="F40" s="105"/>
      <c r="G40" s="113">
        <f>기계!$V32</f>
        <v>94000</v>
      </c>
      <c r="H40" s="114"/>
    </row>
    <row r="41" spans="2:8" ht="24.75" customHeight="1" x14ac:dyDescent="0.3">
      <c r="B41" s="98">
        <f t="shared" si="0"/>
        <v>27</v>
      </c>
      <c r="C41" s="103" t="str">
        <f>기계!$B33</f>
        <v>NT3611354</v>
      </c>
      <c r="D41" s="104"/>
      <c r="E41" s="105" t="str">
        <f>기계!$C33</f>
        <v>핀, 래치형</v>
      </c>
      <c r="F41" s="105"/>
      <c r="G41" s="113">
        <f>기계!$V33</f>
        <v>23000</v>
      </c>
      <c r="H41" s="114"/>
    </row>
    <row r="42" spans="2:8" ht="24.75" customHeight="1" x14ac:dyDescent="0.3">
      <c r="B42" s="98">
        <f t="shared" si="0"/>
        <v>28</v>
      </c>
      <c r="C42" s="103" t="str">
        <f>기계!$B34</f>
        <v>NT3611355</v>
      </c>
      <c r="D42" s="104"/>
      <c r="E42" s="105" t="str">
        <f>기계!$C34</f>
        <v>핀, 잠금용</v>
      </c>
      <c r="F42" s="105"/>
      <c r="G42" s="113">
        <f>기계!$V34</f>
        <v>43000</v>
      </c>
      <c r="H42" s="114"/>
    </row>
    <row r="43" spans="2:8" ht="24.75" customHeight="1" x14ac:dyDescent="0.3">
      <c r="B43" s="98">
        <f t="shared" si="0"/>
        <v>29</v>
      </c>
      <c r="C43" s="103" t="str">
        <f>기계!$B35</f>
        <v>NT3611356</v>
      </c>
      <c r="D43" s="104"/>
      <c r="E43" s="105" t="str">
        <f>기계!$C35</f>
        <v>핀, 유두형</v>
      </c>
      <c r="F43" s="105"/>
      <c r="G43" s="113">
        <f>기계!$V35</f>
        <v>33000</v>
      </c>
      <c r="H43" s="114"/>
    </row>
    <row r="44" spans="2:8" ht="24.75" customHeight="1" x14ac:dyDescent="0.3">
      <c r="B44" s="98">
        <f t="shared" si="0"/>
        <v>30</v>
      </c>
      <c r="C44" s="103" t="str">
        <f>기계!$B36</f>
        <v>NT3611357</v>
      </c>
      <c r="D44" s="104"/>
      <c r="E44" s="105" t="str">
        <f>기계!$C36</f>
        <v>핀, 가이드용</v>
      </c>
      <c r="F44" s="105"/>
      <c r="G44" s="113">
        <f>기계!$V36</f>
        <v>44000</v>
      </c>
      <c r="H44" s="114"/>
    </row>
    <row r="45" spans="2:8" ht="24.75" customHeight="1" x14ac:dyDescent="0.3">
      <c r="B45" s="98">
        <f t="shared" si="0"/>
        <v>31</v>
      </c>
      <c r="C45" s="103" t="str">
        <f>기계!$B37</f>
        <v>NT3611213</v>
      </c>
      <c r="D45" s="104"/>
      <c r="E45" s="105" t="str">
        <f>기계!$C37</f>
        <v>블록, 회전용</v>
      </c>
      <c r="F45" s="105"/>
      <c r="G45" s="113">
        <f>기계!$V37</f>
        <v>199000</v>
      </c>
      <c r="H45" s="114"/>
    </row>
    <row r="46" spans="2:8" ht="24.75" customHeight="1" x14ac:dyDescent="0.3">
      <c r="B46" s="98">
        <f t="shared" si="0"/>
        <v>32</v>
      </c>
      <c r="C46" s="103" t="str">
        <f>기계!$B38</f>
        <v>NT3611122</v>
      </c>
      <c r="D46" s="104"/>
      <c r="E46" s="105" t="str">
        <f>기계!$C38</f>
        <v>블록, 구동기용</v>
      </c>
      <c r="F46" s="105"/>
      <c r="G46" s="113">
        <f>기계!$V38</f>
        <v>84000</v>
      </c>
      <c r="H46" s="114"/>
    </row>
    <row r="47" spans="2:8" ht="24.75" customHeight="1" x14ac:dyDescent="0.3">
      <c r="B47" s="98">
        <f t="shared" si="0"/>
        <v>33</v>
      </c>
      <c r="C47" s="103" t="str">
        <f>기계!$B39</f>
        <v>NT3611123</v>
      </c>
      <c r="D47" s="104"/>
      <c r="E47" s="105" t="str">
        <f>기계!$C39</f>
        <v>블록, 실린더용</v>
      </c>
      <c r="F47" s="105"/>
      <c r="G47" s="113">
        <f>기계!$V39</f>
        <v>63000</v>
      </c>
      <c r="H47" s="114"/>
    </row>
    <row r="48" spans="2:8" ht="24.75" customHeight="1" x14ac:dyDescent="0.3">
      <c r="B48" s="98">
        <f t="shared" si="0"/>
        <v>34</v>
      </c>
      <c r="C48" s="103" t="str">
        <f>기계!$B40</f>
        <v>NR3611124</v>
      </c>
      <c r="D48" s="104"/>
      <c r="E48" s="105" t="str">
        <f>기계!$C40</f>
        <v>블록, 고각용</v>
      </c>
      <c r="F48" s="105"/>
      <c r="G48" s="113">
        <f>기계!$V40</f>
        <v>70000</v>
      </c>
      <c r="H48" s="114"/>
    </row>
    <row r="49" spans="2:8" ht="24.75" customHeight="1" x14ac:dyDescent="0.3">
      <c r="B49" s="98">
        <f t="shared" si="0"/>
        <v>35</v>
      </c>
      <c r="C49" s="103" t="str">
        <f>기계!$B41</f>
        <v>NT3611125</v>
      </c>
      <c r="D49" s="104"/>
      <c r="E49" s="105" t="str">
        <f>기계!$C41</f>
        <v>블록, 링크용</v>
      </c>
      <c r="F49" s="105"/>
      <c r="G49" s="113">
        <f>기계!$V41</f>
        <v>63000</v>
      </c>
      <c r="H49" s="114"/>
    </row>
    <row r="50" spans="2:8" ht="24.75" customHeight="1" x14ac:dyDescent="0.3">
      <c r="B50" s="98">
        <f t="shared" si="0"/>
        <v>36</v>
      </c>
      <c r="C50" s="103" t="str">
        <f>기계!$B42</f>
        <v>NT3611126</v>
      </c>
      <c r="D50" s="104"/>
      <c r="E50" s="105" t="str">
        <f>기계!$C42</f>
        <v>블록, 링크힌지용</v>
      </c>
      <c r="F50" s="105"/>
      <c r="G50" s="113">
        <f>기계!$V42</f>
        <v>56000</v>
      </c>
      <c r="H50" s="114"/>
    </row>
    <row r="51" spans="2:8" ht="24.75" customHeight="1" x14ac:dyDescent="0.3">
      <c r="B51" s="98">
        <f t="shared" si="0"/>
        <v>37</v>
      </c>
      <c r="C51" s="103" t="str">
        <f>기계!$B43</f>
        <v>NT3611129</v>
      </c>
      <c r="D51" s="104"/>
      <c r="E51" s="105" t="str">
        <f>기계!$C43</f>
        <v>블록, 고정용</v>
      </c>
      <c r="F51" s="105"/>
      <c r="G51" s="113">
        <f>기계!$V43</f>
        <v>63000</v>
      </c>
      <c r="H51" s="114"/>
    </row>
    <row r="52" spans="2:8" ht="24.75" customHeight="1" x14ac:dyDescent="0.3">
      <c r="B52" s="98">
        <f t="shared" si="0"/>
        <v>38</v>
      </c>
      <c r="C52" s="103" t="str">
        <f>기계!$B44</f>
        <v>NT3611202</v>
      </c>
      <c r="D52" s="104"/>
      <c r="E52" s="105" t="str">
        <f>기계!$C44</f>
        <v>블록, 잠금용</v>
      </c>
      <c r="F52" s="105"/>
      <c r="G52" s="113">
        <f>기계!$V44</f>
        <v>63000</v>
      </c>
      <c r="H52" s="114"/>
    </row>
    <row r="53" spans="2:8" ht="24.75" customHeight="1" x14ac:dyDescent="0.3">
      <c r="B53" s="98">
        <f t="shared" si="0"/>
        <v>39</v>
      </c>
      <c r="C53" s="103" t="str">
        <f>기계!$B45</f>
        <v>NT3611203</v>
      </c>
      <c r="D53" s="104"/>
      <c r="E53" s="105" t="str">
        <f>기계!$C45</f>
        <v>축, 회전용</v>
      </c>
      <c r="F53" s="105"/>
      <c r="G53" s="113">
        <f>기계!$V45</f>
        <v>107000</v>
      </c>
      <c r="H53" s="114"/>
    </row>
    <row r="54" spans="2:8" ht="24.75" customHeight="1" x14ac:dyDescent="0.3">
      <c r="B54" s="98">
        <f t="shared" si="0"/>
        <v>40</v>
      </c>
      <c r="C54" s="103" t="str">
        <f>기계!$B46</f>
        <v>NT3611204</v>
      </c>
      <c r="D54" s="104"/>
      <c r="E54" s="105" t="str">
        <f>기계!$C46</f>
        <v>힌지, 고정용</v>
      </c>
      <c r="F54" s="105"/>
      <c r="G54" s="113">
        <f>기계!$V46</f>
        <v>199000</v>
      </c>
      <c r="H54" s="114"/>
    </row>
    <row r="55" spans="2:8" ht="24.75" customHeight="1" x14ac:dyDescent="0.3">
      <c r="B55" s="98">
        <f t="shared" si="0"/>
        <v>41</v>
      </c>
      <c r="C55" s="103" t="str">
        <f>기계!$B47</f>
        <v>NT3611205</v>
      </c>
      <c r="D55" s="104"/>
      <c r="E55" s="105" t="str">
        <f>기계!$C47</f>
        <v>힌지, 회전용</v>
      </c>
      <c r="F55" s="105"/>
      <c r="G55" s="113">
        <f>기계!$V47</f>
        <v>374000</v>
      </c>
      <c r="H55" s="114"/>
    </row>
    <row r="56" spans="2:8" ht="24.75" customHeight="1" x14ac:dyDescent="0.3">
      <c r="B56" s="99">
        <f t="shared" si="0"/>
        <v>42</v>
      </c>
      <c r="C56" s="106" t="str">
        <f>기계!$B48</f>
        <v>NT3611206</v>
      </c>
      <c r="D56" s="107"/>
      <c r="E56" s="108" t="str">
        <f>기계!$C48</f>
        <v>블록, 링크용</v>
      </c>
      <c r="F56" s="108"/>
      <c r="G56" s="115">
        <f>기계!$V48</f>
        <v>70000</v>
      </c>
      <c r="H56" s="116"/>
    </row>
    <row r="57" spans="2:8" ht="24.75" customHeight="1" thickBot="1" x14ac:dyDescent="0.35">
      <c r="B57" s="109" t="s">
        <v>142</v>
      </c>
      <c r="C57" s="110"/>
      <c r="D57" s="111"/>
      <c r="E57" s="112"/>
      <c r="F57" s="112"/>
      <c r="G57" s="117">
        <f>기계!$V49</f>
        <v>872000</v>
      </c>
      <c r="H57" s="118"/>
    </row>
    <row r="58" spans="2:8" ht="24.75" customHeight="1" x14ac:dyDescent="0.3"/>
    <row r="59" spans="2:8" ht="24.75" customHeight="1" x14ac:dyDescent="0.3"/>
    <row r="60" spans="2:8" ht="24.75" customHeight="1" x14ac:dyDescent="0.3"/>
    <row r="61" spans="2:8" ht="24.75" customHeight="1" x14ac:dyDescent="0.3"/>
    <row r="62" spans="2:8" ht="24.75" customHeight="1" x14ac:dyDescent="0.3"/>
    <row r="63" spans="2:8" ht="24.75" customHeight="1" x14ac:dyDescent="0.3"/>
    <row r="64" spans="2:8" ht="24.75" customHeight="1" x14ac:dyDescent="0.3"/>
    <row r="65" ht="24.75" customHeight="1" x14ac:dyDescent="0.3"/>
    <row r="66" ht="24.75" customHeight="1" x14ac:dyDescent="0.3"/>
    <row r="67" ht="24.75" customHeight="1" x14ac:dyDescent="0.3"/>
    <row r="68" ht="24.7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75" ht="24.75" customHeight="1" x14ac:dyDescent="0.3"/>
    <row r="76" ht="24.75" customHeight="1" x14ac:dyDescent="0.3"/>
    <row r="77" ht="24.75" customHeight="1" x14ac:dyDescent="0.3"/>
    <row r="78" ht="24.75" customHeight="1" x14ac:dyDescent="0.3"/>
    <row r="79" ht="24.75" customHeight="1" x14ac:dyDescent="0.3"/>
    <row r="80" ht="24.75" customHeight="1" x14ac:dyDescent="0.3"/>
    <row r="81" ht="24.75" customHeight="1" x14ac:dyDescent="0.3"/>
    <row r="82" ht="24.75" customHeight="1" x14ac:dyDescent="0.3"/>
    <row r="83" ht="24.75" customHeight="1" x14ac:dyDescent="0.3"/>
    <row r="1048567" spans="3:4" ht="13.5" customHeight="1" x14ac:dyDescent="0.3">
      <c r="C1048567" s="79"/>
      <c r="D1048567" s="80"/>
    </row>
  </sheetData>
  <mergeCells count="137">
    <mergeCell ref="B57:D57"/>
    <mergeCell ref="C45:D45"/>
    <mergeCell ref="E45:F45"/>
    <mergeCell ref="G45:H45"/>
    <mergeCell ref="C46:D46"/>
    <mergeCell ref="E46:F46"/>
    <mergeCell ref="G46:H46"/>
    <mergeCell ref="C43:D43"/>
    <mergeCell ref="E43:F43"/>
    <mergeCell ref="G43:H43"/>
    <mergeCell ref="C44:D44"/>
    <mergeCell ref="E44:F44"/>
    <mergeCell ref="G44:H44"/>
    <mergeCell ref="C41:D41"/>
    <mergeCell ref="E41:F41"/>
    <mergeCell ref="G41:H41"/>
    <mergeCell ref="C42:D42"/>
    <mergeCell ref="E42:F42"/>
    <mergeCell ref="G42:H42"/>
    <mergeCell ref="C39:D39"/>
    <mergeCell ref="E39:F39"/>
    <mergeCell ref="G39:H39"/>
    <mergeCell ref="C40:D40"/>
    <mergeCell ref="E40:F40"/>
    <mergeCell ref="G40:H40"/>
    <mergeCell ref="C37:D37"/>
    <mergeCell ref="E37:F37"/>
    <mergeCell ref="G37:H37"/>
    <mergeCell ref="C38:D38"/>
    <mergeCell ref="E38:F38"/>
    <mergeCell ref="G38:H38"/>
    <mergeCell ref="E35:F35"/>
    <mergeCell ref="G35:H35"/>
    <mergeCell ref="C36:D36"/>
    <mergeCell ref="E36:F36"/>
    <mergeCell ref="G36:H36"/>
    <mergeCell ref="E57:F57"/>
    <mergeCell ref="G57:H57"/>
    <mergeCell ref="C48:D48"/>
    <mergeCell ref="E48:F48"/>
    <mergeCell ref="G48:H48"/>
    <mergeCell ref="C49:D49"/>
    <mergeCell ref="E49:F49"/>
    <mergeCell ref="G49:H49"/>
    <mergeCell ref="C50:D50"/>
    <mergeCell ref="E50:F50"/>
    <mergeCell ref="G50:H50"/>
    <mergeCell ref="C51:D51"/>
    <mergeCell ref="E51:F51"/>
    <mergeCell ref="G51:H51"/>
    <mergeCell ref="C52:D52"/>
    <mergeCell ref="C55:D55"/>
    <mergeCell ref="E55:F55"/>
    <mergeCell ref="G55:H55"/>
    <mergeCell ref="C56:D56"/>
    <mergeCell ref="E56:F56"/>
    <mergeCell ref="G56:H56"/>
    <mergeCell ref="G15:H15"/>
    <mergeCell ref="E15:F15"/>
    <mergeCell ref="C15:D15"/>
    <mergeCell ref="C54:D54"/>
    <mergeCell ref="C14:D14"/>
    <mergeCell ref="E14:F14"/>
    <mergeCell ref="G14:H14"/>
    <mergeCell ref="E52:F52"/>
    <mergeCell ref="G52:H52"/>
    <mergeCell ref="C33:D33"/>
    <mergeCell ref="E33:F33"/>
    <mergeCell ref="G33:H33"/>
    <mergeCell ref="C34:D34"/>
    <mergeCell ref="E34:F34"/>
    <mergeCell ref="G34:H34"/>
    <mergeCell ref="C35:D35"/>
    <mergeCell ref="C30:D30"/>
    <mergeCell ref="C29:D29"/>
    <mergeCell ref="G16:H16"/>
    <mergeCell ref="E16:F16"/>
    <mergeCell ref="C16:D16"/>
    <mergeCell ref="G53:H53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8:H28"/>
    <mergeCell ref="G29:H29"/>
    <mergeCell ref="G30:H30"/>
    <mergeCell ref="G32:H32"/>
    <mergeCell ref="G47:H47"/>
    <mergeCell ref="G54:H54"/>
    <mergeCell ref="C21:D21"/>
    <mergeCell ref="C53:D53"/>
    <mergeCell ref="E53:F53"/>
    <mergeCell ref="C27:D27"/>
    <mergeCell ref="E27:F27"/>
    <mergeCell ref="C31:D31"/>
    <mergeCell ref="E31:F31"/>
    <mergeCell ref="E54:F54"/>
    <mergeCell ref="E21:F21"/>
    <mergeCell ref="C26:D26"/>
    <mergeCell ref="E26:F26"/>
    <mergeCell ref="G26:H26"/>
    <mergeCell ref="G27:H27"/>
    <mergeCell ref="G31:H31"/>
    <mergeCell ref="C17:D17"/>
    <mergeCell ref="E17:F17"/>
    <mergeCell ref="C18:D18"/>
    <mergeCell ref="C20:D20"/>
    <mergeCell ref="E20:F20"/>
    <mergeCell ref="C19:D19"/>
    <mergeCell ref="E19:F19"/>
    <mergeCell ref="E18:F18"/>
    <mergeCell ref="B5:E5"/>
    <mergeCell ref="B6:E6"/>
    <mergeCell ref="B7:E7"/>
    <mergeCell ref="F7:H7"/>
    <mergeCell ref="E29:F29"/>
    <mergeCell ref="E30:F30"/>
    <mergeCell ref="E32:F32"/>
    <mergeCell ref="E47:F47"/>
    <mergeCell ref="C22:D22"/>
    <mergeCell ref="C23:D23"/>
    <mergeCell ref="C24:D24"/>
    <mergeCell ref="C25:D25"/>
    <mergeCell ref="C28:D28"/>
    <mergeCell ref="E22:F22"/>
    <mergeCell ref="E23:F23"/>
    <mergeCell ref="E24:F24"/>
    <mergeCell ref="E25:F25"/>
    <mergeCell ref="E28:F28"/>
    <mergeCell ref="C47:D47"/>
    <mergeCell ref="C32:D32"/>
    <mergeCell ref="C1048567:D1048567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4"/>
  <sheetViews>
    <sheetView tabSelected="1" topLeftCell="A4" zoomScale="85" zoomScaleNormal="85" workbookViewId="0">
      <pane ySplit="3" topLeftCell="A7" activePane="bottomLeft" state="frozen"/>
      <selection activeCell="A4" sqref="A4"/>
      <selection pane="bottomLeft" activeCell="D52" sqref="D52"/>
    </sheetView>
  </sheetViews>
  <sheetFormatPr defaultRowHeight="12" x14ac:dyDescent="0.3"/>
  <cols>
    <col min="1" max="1" width="6.25" style="5" customWidth="1"/>
    <col min="2" max="2" width="14.375" style="5" bestFit="1" customWidth="1"/>
    <col min="3" max="3" width="32" style="5" customWidth="1"/>
    <col min="4" max="4" width="25.375" style="5" bestFit="1" customWidth="1"/>
    <col min="5" max="5" width="23.75" style="5" bestFit="1" customWidth="1"/>
    <col min="6" max="6" width="4.5" style="5" customWidth="1"/>
    <col min="7" max="7" width="20.125" style="5" bestFit="1" customWidth="1"/>
    <col min="8" max="8" width="7.75" style="24" bestFit="1" customWidth="1"/>
    <col min="9" max="9" width="9.125" style="28" bestFit="1" customWidth="1"/>
    <col min="10" max="10" width="8.75" style="32" bestFit="1" customWidth="1"/>
    <col min="11" max="17" width="7.75" style="5" customWidth="1"/>
    <col min="18" max="18" width="11.125" style="5" customWidth="1"/>
    <col min="19" max="19" width="13.125" style="5" customWidth="1"/>
    <col min="20" max="20" width="6.25" style="5" customWidth="1"/>
    <col min="21" max="22" width="12" style="5" bestFit="1" customWidth="1"/>
    <col min="23" max="16384" width="9" style="5"/>
  </cols>
  <sheetData>
    <row r="1" spans="1:22" ht="17.25" x14ac:dyDescent="0.3">
      <c r="A1" s="4" t="s">
        <v>18</v>
      </c>
      <c r="K1" s="6"/>
      <c r="L1" s="6"/>
      <c r="M1" s="6"/>
      <c r="N1" s="6"/>
      <c r="O1" s="6"/>
      <c r="P1" s="6"/>
      <c r="Q1" s="6"/>
      <c r="R1" s="6"/>
      <c r="S1" s="6"/>
    </row>
    <row r="2" spans="1:22" ht="17.25" x14ac:dyDescent="0.3">
      <c r="A2" s="7" t="s">
        <v>19</v>
      </c>
    </row>
    <row r="3" spans="1:22" ht="13.5" customHeight="1" x14ac:dyDescent="0.3">
      <c r="A3" s="7"/>
    </row>
    <row r="4" spans="1:22" ht="16.5" x14ac:dyDescent="0.3">
      <c r="A4" s="8"/>
      <c r="B4" s="8"/>
      <c r="C4" s="8"/>
      <c r="D4" s="8"/>
      <c r="E4" s="8"/>
      <c r="F4" s="8"/>
      <c r="G4" s="8"/>
      <c r="H4" s="25"/>
      <c r="I4" s="29"/>
      <c r="J4" s="33"/>
    </row>
    <row r="5" spans="1:22" ht="13.5" customHeight="1" thickBot="1" x14ac:dyDescent="0.25">
      <c r="A5" s="9"/>
      <c r="B5" s="10"/>
      <c r="C5" s="10"/>
      <c r="D5" s="10"/>
      <c r="E5" s="11"/>
      <c r="F5" s="11"/>
      <c r="G5" s="11"/>
      <c r="H5" s="26"/>
      <c r="I5" s="30"/>
      <c r="J5" s="34"/>
      <c r="K5" s="56">
        <v>70000</v>
      </c>
      <c r="L5" s="56">
        <v>50000</v>
      </c>
      <c r="M5" s="56">
        <v>40000</v>
      </c>
      <c r="N5" s="56">
        <v>35000</v>
      </c>
      <c r="O5" s="56">
        <v>20000</v>
      </c>
      <c r="P5" s="56">
        <v>15600</v>
      </c>
      <c r="Q5" s="56">
        <v>30000</v>
      </c>
      <c r="R5" s="56">
        <v>35000</v>
      </c>
      <c r="S5" s="56">
        <v>35000</v>
      </c>
    </row>
    <row r="6" spans="1:22" s="19" customFormat="1" ht="24.75" customHeight="1" x14ac:dyDescent="0.3">
      <c r="A6" s="49" t="s">
        <v>12</v>
      </c>
      <c r="B6" s="50" t="s">
        <v>22</v>
      </c>
      <c r="C6" s="51" t="s">
        <v>23</v>
      </c>
      <c r="D6" s="51" t="s">
        <v>20</v>
      </c>
      <c r="E6" s="52" t="s">
        <v>24</v>
      </c>
      <c r="F6" s="52" t="s">
        <v>13</v>
      </c>
      <c r="G6" s="50" t="s">
        <v>14</v>
      </c>
      <c r="H6" s="85" t="s">
        <v>21</v>
      </c>
      <c r="I6" s="86"/>
      <c r="J6" s="87"/>
      <c r="K6" s="53" t="s">
        <v>11</v>
      </c>
      <c r="L6" s="53" t="s">
        <v>34</v>
      </c>
      <c r="M6" s="53" t="s">
        <v>10</v>
      </c>
      <c r="N6" s="53" t="s">
        <v>9</v>
      </c>
      <c r="O6" s="53" t="s">
        <v>8</v>
      </c>
      <c r="P6" s="53" t="s">
        <v>7</v>
      </c>
      <c r="Q6" s="53" t="s">
        <v>6</v>
      </c>
      <c r="R6" s="53" t="s">
        <v>5</v>
      </c>
      <c r="S6" s="54" t="s">
        <v>4</v>
      </c>
      <c r="T6" s="55" t="s">
        <v>3</v>
      </c>
      <c r="U6" s="69" t="s">
        <v>33</v>
      </c>
      <c r="V6" s="55" t="s">
        <v>15</v>
      </c>
    </row>
    <row r="7" spans="1:22" s="18" customFormat="1" ht="30" customHeight="1" x14ac:dyDescent="0.3">
      <c r="A7" s="20">
        <f>ROW()-6</f>
        <v>1</v>
      </c>
      <c r="B7" s="75" t="s">
        <v>37</v>
      </c>
      <c r="C7" s="75" t="s">
        <v>38</v>
      </c>
      <c r="D7" s="74" t="s">
        <v>40</v>
      </c>
      <c r="E7" s="91"/>
      <c r="F7" s="21">
        <v>1</v>
      </c>
      <c r="G7" s="78" t="s">
        <v>39</v>
      </c>
      <c r="H7" s="45">
        <v>38.1</v>
      </c>
      <c r="I7" s="46">
        <v>90</v>
      </c>
      <c r="J7" s="47">
        <v>80</v>
      </c>
      <c r="K7" s="22">
        <v>0.5</v>
      </c>
      <c r="L7" s="22"/>
      <c r="M7" s="22"/>
      <c r="N7" s="22"/>
      <c r="O7" s="22">
        <v>0.5</v>
      </c>
      <c r="P7" s="22">
        <v>0.5</v>
      </c>
      <c r="Q7" s="22">
        <v>0.5</v>
      </c>
      <c r="R7" s="22"/>
      <c r="S7" s="22">
        <v>0.2</v>
      </c>
      <c r="T7" s="72">
        <f>SUM($K7:$S7)</f>
        <v>2.2000000000000002</v>
      </c>
      <c r="U7" s="70">
        <f>(K7*$K$5+L7*$L$5+M7*$M$5+N7*$N$5+O7*$O$5+P7*$P$5+Q7*$Q$5+S7*$S$5+R7*$R$5)*$F7</f>
        <v>74800</v>
      </c>
      <c r="V7" s="48">
        <f>ROUNDDOWN($U7,-3)</f>
        <v>74000</v>
      </c>
    </row>
    <row r="8" spans="1:22" s="18" customFormat="1" ht="30" customHeight="1" x14ac:dyDescent="0.3">
      <c r="A8" s="20">
        <f>ROW()-6</f>
        <v>2</v>
      </c>
      <c r="B8" s="75" t="s">
        <v>41</v>
      </c>
      <c r="C8" s="75" t="s">
        <v>42</v>
      </c>
      <c r="D8" s="74" t="s">
        <v>40</v>
      </c>
      <c r="E8" s="23"/>
      <c r="F8" s="21">
        <v>1</v>
      </c>
      <c r="G8" s="78" t="s">
        <v>39</v>
      </c>
      <c r="H8" s="45">
        <v>52</v>
      </c>
      <c r="I8" s="90">
        <v>80</v>
      </c>
      <c r="J8" s="47">
        <v>65</v>
      </c>
      <c r="K8" s="22">
        <v>0.7</v>
      </c>
      <c r="L8" s="22"/>
      <c r="M8" s="22"/>
      <c r="N8" s="22"/>
      <c r="O8" s="22">
        <v>0.5</v>
      </c>
      <c r="P8" s="22">
        <v>0.5</v>
      </c>
      <c r="Q8" s="22">
        <v>0.5</v>
      </c>
      <c r="R8" s="22"/>
      <c r="S8" s="22">
        <v>0.2</v>
      </c>
      <c r="T8" s="72">
        <f>SUM($K8:$S8)</f>
        <v>2.4000000000000004</v>
      </c>
      <c r="U8" s="70">
        <f>(K8*$K$5+L8*$L$5+M8*$M$5+N8*$N$5+O8*$O$5+P8*$P$5+Q8*$Q$5+S8*$S$5+R8*$R$5)*$F8</f>
        <v>88800</v>
      </c>
      <c r="V8" s="48">
        <f>ROUNDDOWN($U8,-3)</f>
        <v>88000</v>
      </c>
    </row>
    <row r="9" spans="1:22" s="18" customFormat="1" ht="30" customHeight="1" x14ac:dyDescent="0.3">
      <c r="A9" s="20">
        <f>ROW()-6</f>
        <v>3</v>
      </c>
      <c r="B9" s="75" t="s">
        <v>43</v>
      </c>
      <c r="C9" s="93" t="s">
        <v>44</v>
      </c>
      <c r="D9" s="74" t="s">
        <v>45</v>
      </c>
      <c r="E9" s="23"/>
      <c r="F9" s="21">
        <v>1</v>
      </c>
      <c r="G9" s="78" t="s">
        <v>39</v>
      </c>
      <c r="H9" s="45">
        <v>75</v>
      </c>
      <c r="I9" s="90"/>
      <c r="J9" s="47">
        <v>300</v>
      </c>
      <c r="K9" s="22"/>
      <c r="L9" s="22">
        <v>0.5</v>
      </c>
      <c r="M9" s="22"/>
      <c r="N9" s="22">
        <v>1</v>
      </c>
      <c r="O9" s="22"/>
      <c r="P9" s="22">
        <v>0.5</v>
      </c>
      <c r="Q9" s="22">
        <v>0.5</v>
      </c>
      <c r="R9" s="22"/>
      <c r="S9" s="22">
        <v>0.2</v>
      </c>
      <c r="T9" s="72">
        <f>SUM($K9:$S9)</f>
        <v>2.7</v>
      </c>
      <c r="U9" s="70">
        <f>(K9*$K$5+L9*$L$5+M9*$M$5+N9*$N$5+O9*$O$5+P9*$P$5+Q9*$Q$5+S9*$S$5+R9*$R$5)*$F9</f>
        <v>89800</v>
      </c>
      <c r="V9" s="48">
        <f>ROUNDDOWN($U9,-3)</f>
        <v>89000</v>
      </c>
    </row>
    <row r="10" spans="1:22" s="18" customFormat="1" ht="30" customHeight="1" x14ac:dyDescent="0.3">
      <c r="A10" s="20">
        <f>ROW()-6</f>
        <v>4</v>
      </c>
      <c r="B10" s="75" t="s">
        <v>46</v>
      </c>
      <c r="C10" s="93" t="s">
        <v>47</v>
      </c>
      <c r="D10" s="74" t="s">
        <v>45</v>
      </c>
      <c r="E10" s="23"/>
      <c r="F10" s="21">
        <v>1</v>
      </c>
      <c r="G10" s="78" t="s">
        <v>39</v>
      </c>
      <c r="H10" s="45">
        <v>75</v>
      </c>
      <c r="I10" s="90"/>
      <c r="J10" s="47">
        <v>30</v>
      </c>
      <c r="K10" s="22"/>
      <c r="L10" s="22"/>
      <c r="M10" s="22">
        <v>0.2</v>
      </c>
      <c r="N10" s="22">
        <v>0.5</v>
      </c>
      <c r="O10" s="22">
        <v>0.2</v>
      </c>
      <c r="P10" s="22">
        <v>0.2</v>
      </c>
      <c r="Q10" s="22">
        <v>0.2</v>
      </c>
      <c r="R10" s="22"/>
      <c r="S10" s="22">
        <v>0.2</v>
      </c>
      <c r="T10" s="72">
        <f>SUM($K10:$S10)</f>
        <v>1.4999999999999998</v>
      </c>
      <c r="U10" s="70">
        <f>(K10*$K$5+L10*$L$5+M10*$M$5+N10*$N$5+O10*$O$5+P10*$P$5+Q10*$Q$5+S10*$S$5+R10*$R$5)*$F10</f>
        <v>45620</v>
      </c>
      <c r="V10" s="48">
        <f>ROUNDDOWN($U10,-3)</f>
        <v>45000</v>
      </c>
    </row>
    <row r="11" spans="1:22" s="18" customFormat="1" ht="30" customHeight="1" x14ac:dyDescent="0.3">
      <c r="A11" s="20">
        <f>ROW()-6</f>
        <v>5</v>
      </c>
      <c r="B11" s="75" t="s">
        <v>48</v>
      </c>
      <c r="C11" s="93" t="s">
        <v>50</v>
      </c>
      <c r="D11" s="74" t="s">
        <v>45</v>
      </c>
      <c r="E11" s="23"/>
      <c r="F11" s="21">
        <v>1</v>
      </c>
      <c r="G11" s="78" t="s">
        <v>39</v>
      </c>
      <c r="H11" s="45">
        <v>75</v>
      </c>
      <c r="I11" s="90"/>
      <c r="J11" s="47">
        <v>65</v>
      </c>
      <c r="K11" s="22"/>
      <c r="L11" s="22"/>
      <c r="M11" s="22">
        <v>0.2</v>
      </c>
      <c r="N11" s="22">
        <v>0.5</v>
      </c>
      <c r="O11" s="22">
        <v>0.2</v>
      </c>
      <c r="P11" s="22">
        <v>0.2</v>
      </c>
      <c r="Q11" s="22">
        <v>0.2</v>
      </c>
      <c r="R11" s="22"/>
      <c r="S11" s="22">
        <v>0.2</v>
      </c>
      <c r="T11" s="72">
        <f>SUM($K11:$S11)</f>
        <v>1.4999999999999998</v>
      </c>
      <c r="U11" s="70">
        <f>(K11*$K$5+L11*$L$5+M11*$M$5+N11*$N$5+O11*$O$5+P11*$P$5+Q11*$Q$5+S11*$S$5+R11*$R$5)*$F11</f>
        <v>45620</v>
      </c>
      <c r="V11" s="48">
        <f>ROUNDDOWN($U11,-3)</f>
        <v>45000</v>
      </c>
    </row>
    <row r="12" spans="1:22" s="18" customFormat="1" ht="30" customHeight="1" x14ac:dyDescent="0.3">
      <c r="A12" s="20">
        <f>ROW()-6</f>
        <v>6</v>
      </c>
      <c r="B12" s="75" t="s">
        <v>51</v>
      </c>
      <c r="C12" s="93" t="s">
        <v>52</v>
      </c>
      <c r="D12" s="74" t="s">
        <v>53</v>
      </c>
      <c r="E12" s="92" t="s">
        <v>55</v>
      </c>
      <c r="F12" s="21">
        <v>1</v>
      </c>
      <c r="G12" s="78" t="s">
        <v>54</v>
      </c>
      <c r="H12" s="45">
        <v>20</v>
      </c>
      <c r="I12" s="90"/>
      <c r="J12" s="47">
        <v>190</v>
      </c>
      <c r="K12" s="22"/>
      <c r="L12" s="22"/>
      <c r="M12" s="22"/>
      <c r="N12" s="22">
        <v>1</v>
      </c>
      <c r="O12" s="22"/>
      <c r="P12" s="22">
        <v>0.5</v>
      </c>
      <c r="Q12" s="22">
        <v>0.5</v>
      </c>
      <c r="R12" s="22">
        <v>5</v>
      </c>
      <c r="S12" s="22">
        <v>0.2</v>
      </c>
      <c r="T12" s="72">
        <f>SUM($K12:$S12)</f>
        <v>7.2</v>
      </c>
      <c r="U12" s="70">
        <f>(K12*$K$5+L12*$L$5+M12*$M$5+N12*$N$5+O12*$O$5+P12*$P$5+Q12*$Q$5+S12*$S$5+R12*$R$5)*$F12</f>
        <v>239800</v>
      </c>
      <c r="V12" s="48">
        <f>ROUNDDOWN($U12,-3)</f>
        <v>239000</v>
      </c>
    </row>
    <row r="13" spans="1:22" s="18" customFormat="1" ht="30" customHeight="1" x14ac:dyDescent="0.3">
      <c r="A13" s="20">
        <f>ROW()-6</f>
        <v>7</v>
      </c>
      <c r="B13" s="75" t="s">
        <v>56</v>
      </c>
      <c r="C13" s="93" t="s">
        <v>57</v>
      </c>
      <c r="D13" s="74" t="s">
        <v>53</v>
      </c>
      <c r="E13" s="92" t="s">
        <v>55</v>
      </c>
      <c r="F13" s="21">
        <v>1</v>
      </c>
      <c r="G13" s="78" t="s">
        <v>54</v>
      </c>
      <c r="H13" s="45">
        <v>20</v>
      </c>
      <c r="I13" s="90"/>
      <c r="J13" s="47">
        <v>190</v>
      </c>
      <c r="K13" s="22"/>
      <c r="L13" s="22"/>
      <c r="M13" s="22"/>
      <c r="N13" s="22">
        <v>1</v>
      </c>
      <c r="O13" s="22"/>
      <c r="P13" s="22">
        <v>0.5</v>
      </c>
      <c r="Q13" s="22">
        <v>0.5</v>
      </c>
      <c r="R13" s="22">
        <v>5</v>
      </c>
      <c r="S13" s="22">
        <v>0.2</v>
      </c>
      <c r="T13" s="72">
        <f>SUM($K13:$S13)</f>
        <v>7.2</v>
      </c>
      <c r="U13" s="70">
        <f>(K13*$K$5+L13*$L$5+M13*$M$5+N13*$N$5+O13*$O$5+P13*$P$5+Q13*$Q$5+S13*$S$5+R13*$R$5)*$F13</f>
        <v>239800</v>
      </c>
      <c r="V13" s="48">
        <f>ROUNDDOWN($U13,-3)</f>
        <v>239000</v>
      </c>
    </row>
    <row r="14" spans="1:22" s="18" customFormat="1" ht="30" customHeight="1" x14ac:dyDescent="0.3">
      <c r="A14" s="20">
        <f>ROW()-6</f>
        <v>8</v>
      </c>
      <c r="B14" s="75" t="s">
        <v>58</v>
      </c>
      <c r="C14" s="93" t="s">
        <v>59</v>
      </c>
      <c r="D14" s="74" t="s">
        <v>53</v>
      </c>
      <c r="E14" s="23"/>
      <c r="F14" s="21">
        <v>1</v>
      </c>
      <c r="G14" s="78" t="s">
        <v>54</v>
      </c>
      <c r="H14" s="45">
        <v>20</v>
      </c>
      <c r="I14" s="90"/>
      <c r="J14" s="47">
        <v>140</v>
      </c>
      <c r="K14" s="22"/>
      <c r="L14" s="22"/>
      <c r="M14" s="22">
        <v>0.5</v>
      </c>
      <c r="N14" s="22">
        <v>0.5</v>
      </c>
      <c r="O14" s="22"/>
      <c r="P14" s="22">
        <v>0.2</v>
      </c>
      <c r="Q14" s="22">
        <v>0.2</v>
      </c>
      <c r="R14" s="22"/>
      <c r="S14" s="22">
        <v>0.2</v>
      </c>
      <c r="T14" s="72">
        <f>SUM($K14:$S14)</f>
        <v>1.5999999999999999</v>
      </c>
      <c r="U14" s="70">
        <f>(K14*$K$5+L14*$L$5+M14*$M$5+N14*$N$5+O14*$O$5+P14*$P$5+Q14*$Q$5+S14*$S$5+R14*$R$5)*$F14</f>
        <v>53620</v>
      </c>
      <c r="V14" s="48">
        <f>ROUNDDOWN($U14,-3)</f>
        <v>53000</v>
      </c>
    </row>
    <row r="15" spans="1:22" s="18" customFormat="1" ht="30" customHeight="1" x14ac:dyDescent="0.3">
      <c r="A15" s="20">
        <f>ROW()-6</f>
        <v>9</v>
      </c>
      <c r="B15" s="75" t="s">
        <v>60</v>
      </c>
      <c r="C15" s="94" t="s">
        <v>61</v>
      </c>
      <c r="D15" s="74" t="s">
        <v>53</v>
      </c>
      <c r="E15" s="23" t="s">
        <v>62</v>
      </c>
      <c r="F15" s="21">
        <v>1</v>
      </c>
      <c r="G15" s="78" t="s">
        <v>54</v>
      </c>
      <c r="H15" s="45"/>
      <c r="I15" s="90"/>
      <c r="J15" s="47"/>
      <c r="K15" s="22"/>
      <c r="L15" s="22"/>
      <c r="M15" s="22"/>
      <c r="N15" s="22"/>
      <c r="O15" s="22"/>
      <c r="P15" s="22"/>
      <c r="Q15" s="22"/>
      <c r="R15" s="22"/>
      <c r="S15" s="22"/>
      <c r="T15" s="72">
        <f>SUM($K15:$S15)</f>
        <v>0</v>
      </c>
      <c r="U15" s="70">
        <f>(K15*$K$5+L15*$L$5+M15*$M$5+N15*$N$5+O15*$O$5+P15*$P$5+Q15*$Q$5+S15*$S$5+R15*$R$5)*$F15</f>
        <v>0</v>
      </c>
      <c r="V15" s="48">
        <f>ROUNDDOWN($U15,-3)</f>
        <v>0</v>
      </c>
    </row>
    <row r="16" spans="1:22" s="18" customFormat="1" ht="30" customHeight="1" x14ac:dyDescent="0.3">
      <c r="A16" s="20">
        <f>ROW()-6</f>
        <v>10</v>
      </c>
      <c r="B16" s="75" t="s">
        <v>63</v>
      </c>
      <c r="C16" s="94" t="s">
        <v>64</v>
      </c>
      <c r="D16" s="74" t="s">
        <v>53</v>
      </c>
      <c r="E16" s="23" t="s">
        <v>62</v>
      </c>
      <c r="F16" s="21">
        <v>1</v>
      </c>
      <c r="G16" s="78" t="s">
        <v>54</v>
      </c>
      <c r="H16" s="45"/>
      <c r="I16" s="90"/>
      <c r="J16" s="47"/>
      <c r="K16" s="22"/>
      <c r="L16" s="22"/>
      <c r="M16" s="22"/>
      <c r="N16" s="22"/>
      <c r="O16" s="22"/>
      <c r="P16" s="22"/>
      <c r="Q16" s="22"/>
      <c r="R16" s="22"/>
      <c r="S16" s="22"/>
      <c r="T16" s="72">
        <f>SUM($K16:$S16)</f>
        <v>0</v>
      </c>
      <c r="U16" s="70">
        <f>(K16*$K$5+L16*$L$5+M16*$M$5+N16*$N$5+O16*$O$5+P16*$P$5+Q16*$Q$5+S16*$S$5+R16*$R$5)*$F16</f>
        <v>0</v>
      </c>
      <c r="V16" s="48">
        <f>ROUNDDOWN($U16,-3)</f>
        <v>0</v>
      </c>
    </row>
    <row r="17" spans="1:22" s="18" customFormat="1" ht="30" customHeight="1" x14ac:dyDescent="0.3">
      <c r="A17" s="20">
        <f>ROW()-6</f>
        <v>11</v>
      </c>
      <c r="B17" s="75" t="s">
        <v>65</v>
      </c>
      <c r="C17" s="75" t="s">
        <v>66</v>
      </c>
      <c r="D17" s="74" t="s">
        <v>45</v>
      </c>
      <c r="E17" s="23"/>
      <c r="F17" s="21">
        <v>1</v>
      </c>
      <c r="G17" s="78" t="s">
        <v>39</v>
      </c>
      <c r="H17" s="45">
        <v>12.7</v>
      </c>
      <c r="I17" s="90">
        <v>40</v>
      </c>
      <c r="J17" s="47">
        <v>45</v>
      </c>
      <c r="K17" s="22">
        <v>0.5</v>
      </c>
      <c r="L17" s="22"/>
      <c r="M17" s="22"/>
      <c r="N17" s="22"/>
      <c r="O17" s="22">
        <v>0.2</v>
      </c>
      <c r="P17" s="22">
        <v>0.2</v>
      </c>
      <c r="Q17" s="22">
        <v>0.2</v>
      </c>
      <c r="R17" s="22"/>
      <c r="S17" s="22">
        <v>0.1</v>
      </c>
      <c r="T17" s="72">
        <f>SUM($K17:$S17)</f>
        <v>1.2</v>
      </c>
      <c r="U17" s="70">
        <f>(K17*$K$5+L17*$L$5+M17*$M$5+N17*$N$5+O17*$O$5+P17*$P$5+Q17*$Q$5+S17*$S$5+R17*$R$5)*$F17</f>
        <v>51620</v>
      </c>
      <c r="V17" s="48">
        <f>ROUNDDOWN($U17,-3)</f>
        <v>51000</v>
      </c>
    </row>
    <row r="18" spans="1:22" s="18" customFormat="1" ht="30" customHeight="1" x14ac:dyDescent="0.3">
      <c r="A18" s="20">
        <f>ROW()-6</f>
        <v>12</v>
      </c>
      <c r="B18" s="75" t="s">
        <v>67</v>
      </c>
      <c r="C18" s="93" t="s">
        <v>68</v>
      </c>
      <c r="D18" s="74" t="s">
        <v>69</v>
      </c>
      <c r="E18" s="23"/>
      <c r="F18" s="21">
        <v>1</v>
      </c>
      <c r="G18" s="78" t="s">
        <v>70</v>
      </c>
      <c r="H18" s="45">
        <v>16</v>
      </c>
      <c r="I18" s="90"/>
      <c r="J18" s="47">
        <v>50</v>
      </c>
      <c r="K18" s="22"/>
      <c r="L18" s="22"/>
      <c r="M18" s="22">
        <v>0.2</v>
      </c>
      <c r="N18" s="22">
        <v>0.5</v>
      </c>
      <c r="O18" s="22">
        <v>0.2</v>
      </c>
      <c r="P18" s="22">
        <v>0.2</v>
      </c>
      <c r="Q18" s="22">
        <v>0.2</v>
      </c>
      <c r="R18" s="22"/>
      <c r="S18" s="22">
        <v>0.1</v>
      </c>
      <c r="T18" s="72">
        <f>SUM($K18:$S18)</f>
        <v>1.4</v>
      </c>
      <c r="U18" s="70">
        <f>(K18*$K$5+L18*$L$5+M18*$M$5+N18*$N$5+O18*$O$5+P18*$P$5+Q18*$Q$5+S18*$S$5+R18*$R$5)*$F18</f>
        <v>42120</v>
      </c>
      <c r="V18" s="48">
        <f>ROUNDDOWN($U18,-3)</f>
        <v>42000</v>
      </c>
    </row>
    <row r="19" spans="1:22" s="18" customFormat="1" ht="30" customHeight="1" x14ac:dyDescent="0.3">
      <c r="A19" s="20">
        <f>ROW()-6</f>
        <v>13</v>
      </c>
      <c r="B19" s="75" t="s">
        <v>71</v>
      </c>
      <c r="C19" s="93" t="s">
        <v>68</v>
      </c>
      <c r="D19" s="74" t="s">
        <v>69</v>
      </c>
      <c r="E19" s="23"/>
      <c r="F19" s="21">
        <v>1</v>
      </c>
      <c r="G19" s="78" t="s">
        <v>70</v>
      </c>
      <c r="H19" s="45">
        <v>16</v>
      </c>
      <c r="I19" s="90"/>
      <c r="J19" s="47">
        <v>40</v>
      </c>
      <c r="K19" s="22"/>
      <c r="L19" s="22"/>
      <c r="M19" s="22">
        <v>0.2</v>
      </c>
      <c r="N19" s="22">
        <v>0.4</v>
      </c>
      <c r="O19" s="22">
        <v>0.2</v>
      </c>
      <c r="P19" s="22">
        <v>0.2</v>
      </c>
      <c r="Q19" s="22">
        <v>0.2</v>
      </c>
      <c r="R19" s="22"/>
      <c r="S19" s="22">
        <v>0.1</v>
      </c>
      <c r="T19" s="72">
        <f>SUM($K19:$S19)</f>
        <v>1.3</v>
      </c>
      <c r="U19" s="70">
        <f>(K19*$K$5+L19*$L$5+M19*$M$5+N19*$N$5+O19*$O$5+P19*$P$5+Q19*$Q$5+S19*$S$5+R19*$R$5)*$F19</f>
        <v>38620</v>
      </c>
      <c r="V19" s="48">
        <f>ROUNDDOWN($U19,-3)</f>
        <v>38000</v>
      </c>
    </row>
    <row r="20" spans="1:22" s="18" customFormat="1" ht="30" customHeight="1" x14ac:dyDescent="0.3">
      <c r="A20" s="20">
        <f>ROW()-6</f>
        <v>14</v>
      </c>
      <c r="B20" s="75" t="s">
        <v>72</v>
      </c>
      <c r="C20" s="75" t="s">
        <v>73</v>
      </c>
      <c r="D20" s="74"/>
      <c r="E20" s="23"/>
      <c r="F20" s="21">
        <v>1</v>
      </c>
      <c r="G20" s="78" t="s">
        <v>74</v>
      </c>
      <c r="H20" s="45">
        <v>100</v>
      </c>
      <c r="I20" s="90">
        <v>120</v>
      </c>
      <c r="J20" s="47">
        <v>210</v>
      </c>
      <c r="K20" s="22"/>
      <c r="L20" s="22"/>
      <c r="M20" s="22">
        <v>1</v>
      </c>
      <c r="N20" s="22"/>
      <c r="O20" s="22">
        <v>0.5</v>
      </c>
      <c r="P20" s="22">
        <v>0.2</v>
      </c>
      <c r="Q20" s="22">
        <v>0.2</v>
      </c>
      <c r="R20" s="22"/>
      <c r="S20" s="22">
        <v>0.2</v>
      </c>
      <c r="T20" s="72">
        <f>SUM($K20:$S20)</f>
        <v>2.1</v>
      </c>
      <c r="U20" s="70">
        <f>(K20*$K$5+L20*$L$5+M20*$M$5+N20*$N$5+O20*$O$5+P20*$P$5+Q20*$Q$5+S20*$S$5+R20*$R$5)*$F20</f>
        <v>66120</v>
      </c>
      <c r="V20" s="48">
        <f>ROUNDDOWN($U20,-3)</f>
        <v>66000</v>
      </c>
    </row>
    <row r="21" spans="1:22" s="18" customFormat="1" ht="30" customHeight="1" x14ac:dyDescent="0.3">
      <c r="A21" s="20">
        <f>ROW()-6</f>
        <v>15</v>
      </c>
      <c r="B21" s="75" t="s">
        <v>75</v>
      </c>
      <c r="C21" s="75" t="s">
        <v>76</v>
      </c>
      <c r="D21" s="74" t="s">
        <v>79</v>
      </c>
      <c r="E21" s="23"/>
      <c r="F21" s="21">
        <v>1</v>
      </c>
      <c r="G21" s="78" t="s">
        <v>74</v>
      </c>
      <c r="H21" s="45">
        <v>25</v>
      </c>
      <c r="I21" s="90">
        <v>330</v>
      </c>
      <c r="J21" s="47">
        <v>680</v>
      </c>
      <c r="K21" s="22">
        <v>3.5</v>
      </c>
      <c r="L21" s="22"/>
      <c r="M21" s="22"/>
      <c r="N21" s="22"/>
      <c r="O21" s="22">
        <v>0.2</v>
      </c>
      <c r="P21" s="22">
        <v>0.5</v>
      </c>
      <c r="Q21" s="22">
        <v>1</v>
      </c>
      <c r="R21" s="22"/>
      <c r="S21" s="22">
        <v>1</v>
      </c>
      <c r="T21" s="72">
        <f>SUM($K21:$S21)</f>
        <v>6.2</v>
      </c>
      <c r="U21" s="70">
        <f>(K21*$K$5+L21*$L$5+M21*$M$5+N21*$N$5+O21*$O$5+P21*$P$5+Q21*$Q$5+S21*$S$5+R21*$R$5)*$F21</f>
        <v>321800</v>
      </c>
      <c r="V21" s="48">
        <f>ROUNDDOWN($U21,-3)</f>
        <v>321000</v>
      </c>
    </row>
    <row r="22" spans="1:22" s="18" customFormat="1" ht="30" customHeight="1" x14ac:dyDescent="0.3">
      <c r="A22" s="20">
        <f>ROW()-6</f>
        <v>16</v>
      </c>
      <c r="B22" s="75" t="s">
        <v>77</v>
      </c>
      <c r="C22" s="75" t="s">
        <v>78</v>
      </c>
      <c r="D22" s="74" t="s">
        <v>79</v>
      </c>
      <c r="E22" s="23"/>
      <c r="F22" s="21">
        <v>1</v>
      </c>
      <c r="G22" s="78" t="s">
        <v>74</v>
      </c>
      <c r="H22" s="45">
        <v>25</v>
      </c>
      <c r="I22" s="90">
        <v>330</v>
      </c>
      <c r="J22" s="47">
        <v>680</v>
      </c>
      <c r="K22" s="22">
        <v>3.5</v>
      </c>
      <c r="L22" s="22"/>
      <c r="M22" s="22"/>
      <c r="N22" s="22"/>
      <c r="O22" s="22">
        <v>0.2</v>
      </c>
      <c r="P22" s="22">
        <v>0.5</v>
      </c>
      <c r="Q22" s="22">
        <v>1</v>
      </c>
      <c r="R22" s="22"/>
      <c r="S22" s="22">
        <v>1</v>
      </c>
      <c r="T22" s="72">
        <f>SUM($K22:$S22)</f>
        <v>6.2</v>
      </c>
      <c r="U22" s="70">
        <f>(K22*$K$5+L22*$L$5+M22*$M$5+N22*$N$5+O22*$O$5+P22*$P$5+Q22*$Q$5+S22*$S$5+R22*$R$5)*$F22</f>
        <v>321800</v>
      </c>
      <c r="V22" s="48">
        <f>ROUNDDOWN($U22,-3)</f>
        <v>321000</v>
      </c>
    </row>
    <row r="23" spans="1:22" s="18" customFormat="1" ht="30" customHeight="1" x14ac:dyDescent="0.3">
      <c r="A23" s="20">
        <f>ROW()-6</f>
        <v>17</v>
      </c>
      <c r="B23" s="75" t="s">
        <v>80</v>
      </c>
      <c r="C23" s="75" t="s">
        <v>81</v>
      </c>
      <c r="D23" s="74" t="s">
        <v>82</v>
      </c>
      <c r="E23" s="23" t="s">
        <v>83</v>
      </c>
      <c r="F23" s="21">
        <v>1</v>
      </c>
      <c r="G23" s="78" t="s">
        <v>39</v>
      </c>
      <c r="H23" s="45">
        <v>38</v>
      </c>
      <c r="I23" s="90">
        <v>80</v>
      </c>
      <c r="J23" s="47">
        <v>185</v>
      </c>
      <c r="K23" s="22">
        <v>1</v>
      </c>
      <c r="L23" s="22"/>
      <c r="M23" s="22"/>
      <c r="N23" s="22"/>
      <c r="O23" s="22">
        <v>0.2</v>
      </c>
      <c r="P23" s="22">
        <v>0.5</v>
      </c>
      <c r="Q23" s="22">
        <v>0.5</v>
      </c>
      <c r="R23" s="22"/>
      <c r="S23" s="22">
        <v>0.5</v>
      </c>
      <c r="T23" s="72">
        <f>SUM($K23:$S23)</f>
        <v>2.7</v>
      </c>
      <c r="U23" s="70">
        <f>(K23*$K$5+L23*$L$5+M23*$M$5+N23*$N$5+O23*$O$5+P23*$P$5+Q23*$Q$5+S23*$S$5+R23*$R$5)*$F23</f>
        <v>114300</v>
      </c>
      <c r="V23" s="48">
        <f>ROUNDDOWN($U23,-3)</f>
        <v>114000</v>
      </c>
    </row>
    <row r="24" spans="1:22" s="18" customFormat="1" ht="30" customHeight="1" x14ac:dyDescent="0.3">
      <c r="A24" s="20">
        <f>ROW()-6</f>
        <v>18</v>
      </c>
      <c r="B24" s="75" t="s">
        <v>84</v>
      </c>
      <c r="C24" s="75" t="s">
        <v>85</v>
      </c>
      <c r="D24" s="74"/>
      <c r="E24" s="23"/>
      <c r="F24" s="21">
        <v>1</v>
      </c>
      <c r="G24" s="78" t="s">
        <v>86</v>
      </c>
      <c r="H24" s="45">
        <v>38</v>
      </c>
      <c r="I24" s="90">
        <v>50</v>
      </c>
      <c r="J24" s="47">
        <v>140</v>
      </c>
      <c r="K24" s="22">
        <v>0.5</v>
      </c>
      <c r="L24" s="22"/>
      <c r="M24" s="22"/>
      <c r="N24" s="22"/>
      <c r="O24" s="22">
        <v>0.2</v>
      </c>
      <c r="P24" s="22">
        <v>0.5</v>
      </c>
      <c r="Q24" s="22">
        <v>0.5</v>
      </c>
      <c r="R24" s="22"/>
      <c r="S24" s="22">
        <v>0.5</v>
      </c>
      <c r="T24" s="72">
        <f>SUM($K24:$S24)</f>
        <v>2.2000000000000002</v>
      </c>
      <c r="U24" s="70">
        <f>(K24*$K$5+L24*$L$5+M24*$M$5+N24*$N$5+O24*$O$5+P24*$P$5+Q24*$Q$5+S24*$S$5+R24*$R$5)*$F24</f>
        <v>79300</v>
      </c>
      <c r="V24" s="48">
        <f>ROUNDDOWN($U24,-3)</f>
        <v>79000</v>
      </c>
    </row>
    <row r="25" spans="1:22" s="18" customFormat="1" ht="30" customHeight="1" x14ac:dyDescent="0.3">
      <c r="A25" s="20">
        <f>ROW()-6</f>
        <v>19</v>
      </c>
      <c r="B25" s="75" t="s">
        <v>87</v>
      </c>
      <c r="C25" s="75" t="s">
        <v>88</v>
      </c>
      <c r="D25" s="74"/>
      <c r="E25" s="23"/>
      <c r="F25" s="21">
        <v>1</v>
      </c>
      <c r="G25" s="78" t="s">
        <v>89</v>
      </c>
      <c r="H25" s="45">
        <v>44.45</v>
      </c>
      <c r="I25" s="90">
        <v>65</v>
      </c>
      <c r="J25" s="47">
        <v>125</v>
      </c>
      <c r="K25" s="22">
        <v>1</v>
      </c>
      <c r="L25" s="22"/>
      <c r="M25" s="22"/>
      <c r="N25" s="22"/>
      <c r="O25" s="22">
        <v>0.2</v>
      </c>
      <c r="P25" s="22">
        <v>0.5</v>
      </c>
      <c r="Q25" s="22">
        <v>0.5</v>
      </c>
      <c r="R25" s="22"/>
      <c r="S25" s="22">
        <v>0.5</v>
      </c>
      <c r="T25" s="72">
        <f>SUM($K25:$S25)</f>
        <v>2.7</v>
      </c>
      <c r="U25" s="70">
        <f>(K25*$K$5+L25*$L$5+M25*$M$5+N25*$N$5+O25*$O$5+P25*$P$5+Q25*$Q$5+S25*$S$5+R25*$R$5)*$F25</f>
        <v>114300</v>
      </c>
      <c r="V25" s="48">
        <f>ROUNDDOWN($U25,-3)</f>
        <v>114000</v>
      </c>
    </row>
    <row r="26" spans="1:22" s="18" customFormat="1" ht="30" customHeight="1" x14ac:dyDescent="0.3">
      <c r="A26" s="20">
        <f>ROW()-6</f>
        <v>20</v>
      </c>
      <c r="B26" s="75" t="s">
        <v>90</v>
      </c>
      <c r="C26" s="93" t="s">
        <v>91</v>
      </c>
      <c r="D26" s="74" t="s">
        <v>69</v>
      </c>
      <c r="E26" s="23" t="s">
        <v>92</v>
      </c>
      <c r="F26" s="21">
        <v>1</v>
      </c>
      <c r="G26" s="78" t="s">
        <v>70</v>
      </c>
      <c r="H26" s="45">
        <v>15</v>
      </c>
      <c r="I26" s="90"/>
      <c r="J26" s="47">
        <v>50</v>
      </c>
      <c r="K26" s="22"/>
      <c r="L26" s="22"/>
      <c r="M26" s="22"/>
      <c r="N26" s="22">
        <v>0.5</v>
      </c>
      <c r="O26" s="22">
        <v>0.5</v>
      </c>
      <c r="P26" s="22">
        <v>0.2</v>
      </c>
      <c r="Q26" s="22">
        <v>0.2</v>
      </c>
      <c r="R26" s="22">
        <v>2</v>
      </c>
      <c r="S26" s="22">
        <v>0.2</v>
      </c>
      <c r="T26" s="72">
        <f>SUM($K26:$S26)</f>
        <v>3.6</v>
      </c>
      <c r="U26" s="70">
        <f>(K26*$K$5+L26*$L$5+M26*$M$5+N26*$N$5+O26*$O$5+P26*$P$5+Q26*$Q$5+S26*$S$5+R26*$R$5)*$F26</f>
        <v>113620</v>
      </c>
      <c r="V26" s="48">
        <f>ROUNDDOWN($U26,-3)</f>
        <v>113000</v>
      </c>
    </row>
    <row r="27" spans="1:22" s="18" customFormat="1" ht="30" customHeight="1" x14ac:dyDescent="0.3">
      <c r="A27" s="20">
        <f>ROW()-6</f>
        <v>21</v>
      </c>
      <c r="B27" s="75" t="s">
        <v>93</v>
      </c>
      <c r="C27" s="93" t="s">
        <v>94</v>
      </c>
      <c r="D27" s="74" t="s">
        <v>69</v>
      </c>
      <c r="E27" s="23"/>
      <c r="F27" s="21">
        <v>1</v>
      </c>
      <c r="G27" s="78" t="s">
        <v>70</v>
      </c>
      <c r="H27" s="45">
        <v>15</v>
      </c>
      <c r="I27" s="90"/>
      <c r="J27" s="47">
        <v>50</v>
      </c>
      <c r="K27" s="22"/>
      <c r="L27" s="22"/>
      <c r="M27" s="22">
        <v>0.2</v>
      </c>
      <c r="N27" s="22">
        <v>0.5</v>
      </c>
      <c r="O27" s="22">
        <v>0.2</v>
      </c>
      <c r="P27" s="22">
        <v>0.2</v>
      </c>
      <c r="Q27" s="22">
        <v>0.2</v>
      </c>
      <c r="R27" s="22"/>
      <c r="S27" s="22">
        <v>0.2</v>
      </c>
      <c r="T27" s="72">
        <f>SUM($K27:$S27)</f>
        <v>1.4999999999999998</v>
      </c>
      <c r="U27" s="70">
        <f>(K27*$K$5+L27*$L$5+M27*$M$5+N27*$N$5+O27*$O$5+P27*$P$5+Q27*$Q$5+S27*$S$5+R27*$R$5)*$F27</f>
        <v>45620</v>
      </c>
      <c r="V27" s="48">
        <f>ROUNDDOWN($U27,-3)</f>
        <v>45000</v>
      </c>
    </row>
    <row r="28" spans="1:22" s="18" customFormat="1" ht="30" customHeight="1" x14ac:dyDescent="0.3">
      <c r="A28" s="20">
        <f>ROW()-6</f>
        <v>22</v>
      </c>
      <c r="B28" s="75" t="s">
        <v>95</v>
      </c>
      <c r="C28" s="75" t="s">
        <v>96</v>
      </c>
      <c r="D28" s="74" t="s">
        <v>45</v>
      </c>
      <c r="E28" s="23"/>
      <c r="F28" s="21">
        <v>1</v>
      </c>
      <c r="G28" s="78" t="s">
        <v>39</v>
      </c>
      <c r="H28" s="45">
        <v>20</v>
      </c>
      <c r="I28" s="90">
        <v>50</v>
      </c>
      <c r="J28" s="47">
        <v>65</v>
      </c>
      <c r="K28" s="22">
        <v>0.5</v>
      </c>
      <c r="L28" s="22"/>
      <c r="M28" s="22"/>
      <c r="N28" s="22"/>
      <c r="O28" s="22">
        <v>0.2</v>
      </c>
      <c r="P28" s="22">
        <v>0.2</v>
      </c>
      <c r="Q28" s="22">
        <v>0.2</v>
      </c>
      <c r="R28" s="22"/>
      <c r="S28" s="22">
        <v>0.2</v>
      </c>
      <c r="T28" s="72">
        <f>SUM($K28:$S28)</f>
        <v>1.2999999999999998</v>
      </c>
      <c r="U28" s="70">
        <f>(K28*$K$5+L28*$L$5+M28*$M$5+N28*$N$5+O28*$O$5+P28*$P$5+Q28*$Q$5+S28*$S$5+R28*$R$5)*$F28</f>
        <v>55120</v>
      </c>
      <c r="V28" s="48">
        <f>ROUNDDOWN($U28,-3)</f>
        <v>55000</v>
      </c>
    </row>
    <row r="29" spans="1:22" s="18" customFormat="1" ht="30" customHeight="1" x14ac:dyDescent="0.3">
      <c r="A29" s="20">
        <f>ROW()-6</f>
        <v>23</v>
      </c>
      <c r="B29" s="75" t="s">
        <v>97</v>
      </c>
      <c r="C29" s="75" t="s">
        <v>98</v>
      </c>
      <c r="D29" s="74" t="s">
        <v>82</v>
      </c>
      <c r="E29" s="23" t="s">
        <v>83</v>
      </c>
      <c r="F29" s="21">
        <v>1</v>
      </c>
      <c r="G29" s="78" t="s">
        <v>39</v>
      </c>
      <c r="H29" s="45">
        <v>19</v>
      </c>
      <c r="I29" s="90">
        <v>45</v>
      </c>
      <c r="J29" s="47">
        <v>70</v>
      </c>
      <c r="K29" s="22">
        <v>0.5</v>
      </c>
      <c r="L29" s="22"/>
      <c r="M29" s="22"/>
      <c r="N29" s="22"/>
      <c r="O29" s="22">
        <v>0.2</v>
      </c>
      <c r="P29" s="22">
        <v>0.2</v>
      </c>
      <c r="Q29" s="22">
        <v>0.2</v>
      </c>
      <c r="R29" s="22"/>
      <c r="S29" s="22">
        <v>0.2</v>
      </c>
      <c r="T29" s="72">
        <f>SUM($K29:$S29)</f>
        <v>1.2999999999999998</v>
      </c>
      <c r="U29" s="70">
        <f>(K29*$K$5+L29*$L$5+M29*$M$5+N29*$N$5+O29*$O$5+P29*$P$5+Q29*$Q$5+S29*$S$5+R29*$R$5)*$F29</f>
        <v>55120</v>
      </c>
      <c r="V29" s="48">
        <f>ROUNDDOWN($U29,-3)</f>
        <v>55000</v>
      </c>
    </row>
    <row r="30" spans="1:22" s="18" customFormat="1" ht="30" customHeight="1" x14ac:dyDescent="0.3">
      <c r="A30" s="20">
        <f>ROW()-6</f>
        <v>24</v>
      </c>
      <c r="B30" s="75" t="s">
        <v>99</v>
      </c>
      <c r="C30" s="75" t="s">
        <v>100</v>
      </c>
      <c r="D30" s="74" t="s">
        <v>45</v>
      </c>
      <c r="E30" s="23"/>
      <c r="F30" s="21">
        <v>1</v>
      </c>
      <c r="G30" s="78" t="s">
        <v>39</v>
      </c>
      <c r="H30" s="45">
        <v>35</v>
      </c>
      <c r="I30" s="90">
        <v>100</v>
      </c>
      <c r="J30" s="47">
        <v>140</v>
      </c>
      <c r="K30" s="22">
        <v>1.5</v>
      </c>
      <c r="L30" s="22"/>
      <c r="M30" s="22">
        <v>0.5</v>
      </c>
      <c r="N30" s="22"/>
      <c r="O30" s="22">
        <v>0.5</v>
      </c>
      <c r="P30" s="22">
        <v>0.5</v>
      </c>
      <c r="Q30" s="22">
        <v>1</v>
      </c>
      <c r="R30" s="22"/>
      <c r="S30" s="22">
        <v>1</v>
      </c>
      <c r="T30" s="72">
        <f>SUM($K30:$S30)</f>
        <v>5</v>
      </c>
      <c r="U30" s="70">
        <f>(K30*$K$5+L30*$L$5+M30*$M$5+N30*$N$5+O30*$O$5+P30*$P$5+Q30*$Q$5+S30*$S$5+R30*$R$5)*$F30</f>
        <v>207800</v>
      </c>
      <c r="V30" s="48">
        <f>ROUNDDOWN($U30,-3)</f>
        <v>207000</v>
      </c>
    </row>
    <row r="31" spans="1:22" s="18" customFormat="1" ht="30" customHeight="1" x14ac:dyDescent="0.3">
      <c r="A31" s="20">
        <f>ROW()-6</f>
        <v>25</v>
      </c>
      <c r="B31" s="75" t="s">
        <v>101</v>
      </c>
      <c r="C31" s="75" t="s">
        <v>102</v>
      </c>
      <c r="D31" s="74" t="s">
        <v>82</v>
      </c>
      <c r="E31" s="23" t="s">
        <v>83</v>
      </c>
      <c r="F31" s="21">
        <v>1</v>
      </c>
      <c r="G31" s="78" t="s">
        <v>39</v>
      </c>
      <c r="H31" s="45">
        <v>15</v>
      </c>
      <c r="I31" s="46">
        <v>45</v>
      </c>
      <c r="J31" s="47">
        <v>75</v>
      </c>
      <c r="K31" s="22">
        <v>0.5</v>
      </c>
      <c r="L31" s="22"/>
      <c r="M31" s="22">
        <v>0.2</v>
      </c>
      <c r="N31" s="22"/>
      <c r="O31" s="22">
        <v>0.2</v>
      </c>
      <c r="P31" s="22">
        <v>0.2</v>
      </c>
      <c r="Q31" s="22">
        <v>0.2</v>
      </c>
      <c r="R31" s="22"/>
      <c r="S31" s="22">
        <v>0.2</v>
      </c>
      <c r="T31" s="72">
        <f>SUM($K31:$S31)</f>
        <v>1.4999999999999998</v>
      </c>
      <c r="U31" s="70">
        <f>(K31*$K$5+L31*$L$5+M31*$M$5+N31*$N$5+O31*$O$5+P31*$P$5+Q31*$Q$5+S31*$S$5+R31*$R$5)*$F31</f>
        <v>63120</v>
      </c>
      <c r="V31" s="48">
        <f>ROUNDDOWN($U31,-3)</f>
        <v>63000</v>
      </c>
    </row>
    <row r="32" spans="1:22" s="18" customFormat="1" ht="30" customHeight="1" x14ac:dyDescent="0.3">
      <c r="A32" s="20">
        <f>ROW()-6</f>
        <v>26</v>
      </c>
      <c r="B32" s="75" t="s">
        <v>103</v>
      </c>
      <c r="C32" s="75" t="s">
        <v>104</v>
      </c>
      <c r="D32" s="74" t="s">
        <v>82</v>
      </c>
      <c r="E32" s="23" t="s">
        <v>83</v>
      </c>
      <c r="F32" s="21">
        <v>1</v>
      </c>
      <c r="G32" s="78" t="s">
        <v>39</v>
      </c>
      <c r="H32" s="45">
        <v>17</v>
      </c>
      <c r="I32" s="46">
        <v>55</v>
      </c>
      <c r="J32" s="47">
        <v>60</v>
      </c>
      <c r="K32" s="22">
        <v>1</v>
      </c>
      <c r="L32" s="22"/>
      <c r="M32" s="22"/>
      <c r="N32" s="22"/>
      <c r="O32" s="22">
        <v>0.2</v>
      </c>
      <c r="P32" s="22">
        <v>0.5</v>
      </c>
      <c r="Q32" s="22">
        <v>0.2</v>
      </c>
      <c r="R32" s="22"/>
      <c r="S32" s="22">
        <v>0.2</v>
      </c>
      <c r="T32" s="72">
        <f>SUM($K32:$S32)</f>
        <v>2.1</v>
      </c>
      <c r="U32" s="70">
        <f>(K32*$K$5+L32*$L$5+M32*$M$5+N32*$N$5+O32*$O$5+P32*$P$5+Q32*$Q$5+S32*$S$5+R32*$R$5)*$F32</f>
        <v>94800</v>
      </c>
      <c r="V32" s="48">
        <f>ROUNDDOWN($U32,-3)</f>
        <v>94000</v>
      </c>
    </row>
    <row r="33" spans="1:22" s="18" customFormat="1" ht="30" customHeight="1" x14ac:dyDescent="0.3">
      <c r="A33" s="20">
        <f>ROW()-6</f>
        <v>27</v>
      </c>
      <c r="B33" s="75" t="s">
        <v>105</v>
      </c>
      <c r="C33" s="93" t="s">
        <v>106</v>
      </c>
      <c r="D33" s="74" t="s">
        <v>69</v>
      </c>
      <c r="E33" s="23"/>
      <c r="F33" s="21">
        <v>1</v>
      </c>
      <c r="G33" s="78" t="s">
        <v>70</v>
      </c>
      <c r="H33" s="45">
        <v>15</v>
      </c>
      <c r="I33" s="90"/>
      <c r="J33" s="47">
        <v>45</v>
      </c>
      <c r="K33" s="22"/>
      <c r="L33" s="22"/>
      <c r="M33" s="22"/>
      <c r="N33" s="22">
        <v>0.2</v>
      </c>
      <c r="O33" s="22"/>
      <c r="P33" s="22">
        <v>0.2</v>
      </c>
      <c r="Q33" s="22">
        <v>0.2</v>
      </c>
      <c r="R33" s="22"/>
      <c r="S33" s="22">
        <v>0.2</v>
      </c>
      <c r="T33" s="72">
        <f>SUM($K33:$S33)</f>
        <v>0.8</v>
      </c>
      <c r="U33" s="70">
        <f>(K33*$K$5+L33*$L$5+M33*$M$5+N33*$N$5+O33*$O$5+P33*$P$5+Q33*$Q$5+S33*$S$5+R33*$R$5)*$F33</f>
        <v>23120</v>
      </c>
      <c r="V33" s="48">
        <f>ROUNDDOWN($U33,-3)</f>
        <v>23000</v>
      </c>
    </row>
    <row r="34" spans="1:22" s="18" customFormat="1" ht="30" customHeight="1" x14ac:dyDescent="0.3">
      <c r="A34" s="20">
        <f>ROW()-6</f>
        <v>28</v>
      </c>
      <c r="B34" s="75" t="s">
        <v>107</v>
      </c>
      <c r="C34" s="93" t="s">
        <v>108</v>
      </c>
      <c r="D34" s="74" t="s">
        <v>69</v>
      </c>
      <c r="E34" s="23"/>
      <c r="F34" s="21">
        <v>1</v>
      </c>
      <c r="G34" s="78" t="s">
        <v>70</v>
      </c>
      <c r="H34" s="45">
        <v>12</v>
      </c>
      <c r="I34" s="46"/>
      <c r="J34" s="47">
        <v>40</v>
      </c>
      <c r="K34" s="22"/>
      <c r="L34" s="22"/>
      <c r="M34" s="22">
        <v>0.5</v>
      </c>
      <c r="N34" s="22">
        <v>0.2</v>
      </c>
      <c r="O34" s="22"/>
      <c r="P34" s="22">
        <v>0.2</v>
      </c>
      <c r="Q34" s="22">
        <v>0.2</v>
      </c>
      <c r="R34" s="22"/>
      <c r="S34" s="22">
        <v>0.2</v>
      </c>
      <c r="T34" s="72">
        <f>SUM($K34:$S34)</f>
        <v>1.2999999999999998</v>
      </c>
      <c r="U34" s="70">
        <f>(K34*$K$5+L34*$L$5+M34*$M$5+N34*$N$5+O34*$O$5+P34*$P$5+Q34*$Q$5+S34*$S$5+R34*$R$5)*$F34</f>
        <v>43120</v>
      </c>
      <c r="V34" s="48">
        <f>ROUNDDOWN($U34,-3)</f>
        <v>43000</v>
      </c>
    </row>
    <row r="35" spans="1:22" s="18" customFormat="1" ht="30" customHeight="1" x14ac:dyDescent="0.3">
      <c r="A35" s="20">
        <f>ROW()-6</f>
        <v>29</v>
      </c>
      <c r="B35" s="75" t="s">
        <v>109</v>
      </c>
      <c r="C35" s="93" t="s">
        <v>110</v>
      </c>
      <c r="D35" s="74" t="s">
        <v>69</v>
      </c>
      <c r="E35" s="23"/>
      <c r="F35" s="21">
        <v>1</v>
      </c>
      <c r="G35" s="78" t="s">
        <v>70</v>
      </c>
      <c r="H35" s="45">
        <v>9</v>
      </c>
      <c r="I35" s="46"/>
      <c r="J35" s="47">
        <v>25</v>
      </c>
      <c r="K35" s="22"/>
      <c r="L35" s="22"/>
      <c r="M35" s="22"/>
      <c r="N35" s="22">
        <v>0.5</v>
      </c>
      <c r="O35" s="22"/>
      <c r="P35" s="22">
        <v>0.2</v>
      </c>
      <c r="Q35" s="22">
        <v>0.2</v>
      </c>
      <c r="R35" s="22"/>
      <c r="S35" s="22">
        <v>0.2</v>
      </c>
      <c r="T35" s="72">
        <f>SUM($K35:$S35)</f>
        <v>1.0999999999999999</v>
      </c>
      <c r="U35" s="70">
        <f>(K35*$K$5+L35*$L$5+M35*$M$5+N35*$N$5+O35*$O$5+P35*$P$5+Q35*$Q$5+S35*$S$5+R35*$R$5)*$F35</f>
        <v>33620</v>
      </c>
      <c r="V35" s="48">
        <f>ROUNDDOWN($U35,-3)</f>
        <v>33000</v>
      </c>
    </row>
    <row r="36" spans="1:22" s="18" customFormat="1" ht="30" customHeight="1" x14ac:dyDescent="0.3">
      <c r="A36" s="20">
        <f>ROW()-6</f>
        <v>30</v>
      </c>
      <c r="B36" s="75" t="s">
        <v>111</v>
      </c>
      <c r="C36" s="93" t="s">
        <v>112</v>
      </c>
      <c r="D36" s="74" t="s">
        <v>69</v>
      </c>
      <c r="E36" s="23"/>
      <c r="F36" s="21">
        <v>1</v>
      </c>
      <c r="G36" s="78" t="s">
        <v>70</v>
      </c>
      <c r="H36" s="45">
        <v>22.5</v>
      </c>
      <c r="I36" s="46"/>
      <c r="J36" s="47">
        <v>100</v>
      </c>
      <c r="K36" s="22"/>
      <c r="L36" s="22"/>
      <c r="M36" s="22"/>
      <c r="N36" s="22">
        <v>0.8</v>
      </c>
      <c r="O36" s="22"/>
      <c r="P36" s="22">
        <v>0.2</v>
      </c>
      <c r="Q36" s="22">
        <v>0.2</v>
      </c>
      <c r="R36" s="22"/>
      <c r="S36" s="22">
        <v>0.2</v>
      </c>
      <c r="T36" s="72">
        <f>SUM($K36:$S36)</f>
        <v>1.4</v>
      </c>
      <c r="U36" s="70">
        <f>(K36*$K$5+L36*$L$5+M36*$M$5+N36*$N$5+O36*$O$5+P36*$P$5+Q36*$Q$5+S36*$S$5+R36*$R$5)*$F36</f>
        <v>44120</v>
      </c>
      <c r="V36" s="48">
        <f>ROUNDDOWN($U36,-3)</f>
        <v>44000</v>
      </c>
    </row>
    <row r="37" spans="1:22" s="18" customFormat="1" ht="30" customHeight="1" x14ac:dyDescent="0.3">
      <c r="A37" s="20">
        <f>ROW()-6</f>
        <v>31</v>
      </c>
      <c r="B37" s="75" t="s">
        <v>113</v>
      </c>
      <c r="C37" s="75" t="s">
        <v>114</v>
      </c>
      <c r="D37" s="74" t="s">
        <v>45</v>
      </c>
      <c r="E37" s="23"/>
      <c r="F37" s="21">
        <v>1</v>
      </c>
      <c r="G37" s="78" t="s">
        <v>39</v>
      </c>
      <c r="H37" s="45">
        <v>60</v>
      </c>
      <c r="I37" s="46">
        <v>100</v>
      </c>
      <c r="J37" s="47">
        <v>80</v>
      </c>
      <c r="K37" s="22">
        <v>2</v>
      </c>
      <c r="L37" s="22"/>
      <c r="M37" s="22">
        <v>0.5</v>
      </c>
      <c r="N37" s="22"/>
      <c r="O37" s="22">
        <v>0.2</v>
      </c>
      <c r="P37" s="22">
        <v>0.2</v>
      </c>
      <c r="Q37" s="22">
        <v>0.5</v>
      </c>
      <c r="R37" s="22"/>
      <c r="S37" s="22">
        <v>0.5</v>
      </c>
      <c r="T37" s="72">
        <f>SUM($K37:$S37)</f>
        <v>3.9000000000000004</v>
      </c>
      <c r="U37" s="70">
        <f>(K37*$K$5+L37*$L$5+M37*$M$5+N37*$N$5+O37*$O$5+P37*$P$5+Q37*$Q$5+S37*$S$5+R37*$R$5)*$F37</f>
        <v>199620</v>
      </c>
      <c r="V37" s="48">
        <f>ROUNDDOWN($U37,-3)</f>
        <v>199000</v>
      </c>
    </row>
    <row r="38" spans="1:22" s="18" customFormat="1" ht="30" customHeight="1" x14ac:dyDescent="0.3">
      <c r="A38" s="20">
        <f>ROW()-6</f>
        <v>32</v>
      </c>
      <c r="B38" s="75" t="s">
        <v>115</v>
      </c>
      <c r="C38" s="75" t="s">
        <v>116</v>
      </c>
      <c r="D38" s="74" t="s">
        <v>45</v>
      </c>
      <c r="E38" s="23"/>
      <c r="F38" s="21">
        <v>1</v>
      </c>
      <c r="G38" s="78" t="s">
        <v>39</v>
      </c>
      <c r="H38" s="45">
        <v>50</v>
      </c>
      <c r="I38" s="46">
        <v>80</v>
      </c>
      <c r="J38" s="47">
        <v>80</v>
      </c>
      <c r="K38" s="22">
        <v>0.8</v>
      </c>
      <c r="L38" s="22"/>
      <c r="M38" s="22">
        <v>0.2</v>
      </c>
      <c r="N38" s="22"/>
      <c r="O38" s="22">
        <v>0.2</v>
      </c>
      <c r="P38" s="22">
        <v>0.2</v>
      </c>
      <c r="Q38" s="22">
        <v>0.2</v>
      </c>
      <c r="R38" s="22"/>
      <c r="S38" s="22">
        <v>0.2</v>
      </c>
      <c r="T38" s="72">
        <f>SUM($K38:$S38)</f>
        <v>1.7999999999999998</v>
      </c>
      <c r="U38" s="70">
        <f>(K38*$K$5+L38*$L$5+M38*$M$5+N38*$N$5+O38*$O$5+P38*$P$5+Q38*$Q$5+S38*$S$5+R38*$R$5)*$F38</f>
        <v>84120</v>
      </c>
      <c r="V38" s="48">
        <f>ROUNDDOWN($U38,-3)</f>
        <v>84000</v>
      </c>
    </row>
    <row r="39" spans="1:22" s="18" customFormat="1" ht="30" customHeight="1" x14ac:dyDescent="0.3">
      <c r="A39" s="20">
        <f>ROW()-6</f>
        <v>33</v>
      </c>
      <c r="B39" s="75" t="s">
        <v>117</v>
      </c>
      <c r="C39" s="75" t="s">
        <v>118</v>
      </c>
      <c r="D39" s="74" t="s">
        <v>45</v>
      </c>
      <c r="E39" s="23"/>
      <c r="F39" s="21">
        <v>1</v>
      </c>
      <c r="G39" s="78" t="s">
        <v>39</v>
      </c>
      <c r="H39" s="45">
        <v>50</v>
      </c>
      <c r="I39" s="46">
        <v>60</v>
      </c>
      <c r="J39" s="47">
        <v>100</v>
      </c>
      <c r="K39" s="22">
        <v>0.5</v>
      </c>
      <c r="L39" s="22"/>
      <c r="M39" s="22">
        <v>0.2</v>
      </c>
      <c r="N39" s="22"/>
      <c r="O39" s="22">
        <v>0.2</v>
      </c>
      <c r="P39" s="22">
        <v>0.2</v>
      </c>
      <c r="Q39" s="22">
        <v>0.2</v>
      </c>
      <c r="R39" s="22"/>
      <c r="S39" s="22">
        <v>0.2</v>
      </c>
      <c r="T39" s="72">
        <f>SUM($K39:$S39)</f>
        <v>1.4999999999999998</v>
      </c>
      <c r="U39" s="70">
        <f>(K39*$K$5+L39*$L$5+M39*$M$5+N39*$N$5+O39*$O$5+P39*$P$5+Q39*$Q$5+S39*$S$5+R39*$R$5)*$F39</f>
        <v>63120</v>
      </c>
      <c r="V39" s="48">
        <f>ROUNDDOWN($U39,-3)</f>
        <v>63000</v>
      </c>
    </row>
    <row r="40" spans="1:22" s="18" customFormat="1" ht="30" customHeight="1" x14ac:dyDescent="0.3">
      <c r="A40" s="20">
        <f>ROW()-6</f>
        <v>34</v>
      </c>
      <c r="B40" s="75" t="s">
        <v>119</v>
      </c>
      <c r="C40" s="75" t="s">
        <v>120</v>
      </c>
      <c r="D40" s="74" t="s">
        <v>45</v>
      </c>
      <c r="E40" s="23"/>
      <c r="F40" s="21">
        <v>1</v>
      </c>
      <c r="G40" s="78" t="s">
        <v>39</v>
      </c>
      <c r="H40" s="45">
        <v>50</v>
      </c>
      <c r="I40" s="46">
        <v>40</v>
      </c>
      <c r="J40" s="47">
        <v>105</v>
      </c>
      <c r="K40" s="22">
        <v>0.6</v>
      </c>
      <c r="L40" s="22"/>
      <c r="M40" s="22">
        <v>0.2</v>
      </c>
      <c r="N40" s="22"/>
      <c r="O40" s="22">
        <v>0.2</v>
      </c>
      <c r="P40" s="22">
        <v>0.2</v>
      </c>
      <c r="Q40" s="22">
        <v>0.2</v>
      </c>
      <c r="R40" s="22"/>
      <c r="S40" s="22">
        <v>0.2</v>
      </c>
      <c r="T40" s="72">
        <f>SUM($K40:$S40)</f>
        <v>1.5999999999999999</v>
      </c>
      <c r="U40" s="70">
        <f>(K40*$K$5+L40*$L$5+M40*$M$5+N40*$N$5+O40*$O$5+P40*$P$5+Q40*$Q$5+S40*$S$5+R40*$R$5)*$F40</f>
        <v>70120</v>
      </c>
      <c r="V40" s="48">
        <f>ROUNDDOWN($U40,-3)</f>
        <v>70000</v>
      </c>
    </row>
    <row r="41" spans="1:22" s="18" customFormat="1" ht="30" customHeight="1" x14ac:dyDescent="0.3">
      <c r="A41" s="20">
        <f>ROW()-6</f>
        <v>35</v>
      </c>
      <c r="B41" s="75" t="s">
        <v>121</v>
      </c>
      <c r="C41" s="75" t="s">
        <v>122</v>
      </c>
      <c r="D41" s="74"/>
      <c r="E41" s="23"/>
      <c r="F41" s="21">
        <v>1</v>
      </c>
      <c r="G41" s="78" t="s">
        <v>74</v>
      </c>
      <c r="H41" s="45">
        <v>60</v>
      </c>
      <c r="I41" s="46">
        <v>80</v>
      </c>
      <c r="J41" s="47">
        <v>110</v>
      </c>
      <c r="K41" s="22">
        <v>0.5</v>
      </c>
      <c r="L41" s="22"/>
      <c r="M41" s="22">
        <v>0.2</v>
      </c>
      <c r="N41" s="22"/>
      <c r="O41" s="22">
        <v>0.2</v>
      </c>
      <c r="P41" s="22">
        <v>0.2</v>
      </c>
      <c r="Q41" s="22">
        <v>0.2</v>
      </c>
      <c r="R41" s="22"/>
      <c r="S41" s="22">
        <v>0.2</v>
      </c>
      <c r="T41" s="72">
        <f>SUM($K41:$S41)</f>
        <v>1.4999999999999998</v>
      </c>
      <c r="U41" s="70">
        <f>(K41*$K$5+L41*$L$5+M41*$M$5+N41*$N$5+O41*$O$5+P41*$P$5+Q41*$Q$5+S41*$S$5+R41*$R$5)*$F41</f>
        <v>63120</v>
      </c>
      <c r="V41" s="48">
        <f>ROUNDDOWN($U41,-3)</f>
        <v>63000</v>
      </c>
    </row>
    <row r="42" spans="1:22" s="18" customFormat="1" ht="30" customHeight="1" x14ac:dyDescent="0.3">
      <c r="A42" s="20">
        <f>ROW()-6</f>
        <v>36</v>
      </c>
      <c r="B42" s="75" t="s">
        <v>123</v>
      </c>
      <c r="C42" s="75" t="s">
        <v>124</v>
      </c>
      <c r="D42" s="74" t="s">
        <v>45</v>
      </c>
      <c r="E42" s="23"/>
      <c r="F42" s="21">
        <v>1</v>
      </c>
      <c r="G42" s="78" t="s">
        <v>39</v>
      </c>
      <c r="H42" s="45">
        <v>38</v>
      </c>
      <c r="I42" s="46">
        <v>35</v>
      </c>
      <c r="J42" s="47">
        <v>70</v>
      </c>
      <c r="K42" s="22">
        <v>0.4</v>
      </c>
      <c r="L42" s="22"/>
      <c r="M42" s="22">
        <v>0.2</v>
      </c>
      <c r="N42" s="22"/>
      <c r="O42" s="22">
        <v>0.2</v>
      </c>
      <c r="P42" s="22">
        <v>0.2</v>
      </c>
      <c r="Q42" s="22">
        <v>0.2</v>
      </c>
      <c r="R42" s="22"/>
      <c r="S42" s="22">
        <v>0.2</v>
      </c>
      <c r="T42" s="72">
        <f>SUM($K42:$S42)</f>
        <v>1.4</v>
      </c>
      <c r="U42" s="70">
        <f>(K42*$K$5+L42*$L$5+M42*$M$5+N42*$N$5+O42*$O$5+P42*$P$5+Q42*$Q$5+S42*$S$5+R42*$R$5)*$F42</f>
        <v>56120</v>
      </c>
      <c r="V42" s="48">
        <f>ROUNDDOWN($U42,-3)</f>
        <v>56000</v>
      </c>
    </row>
    <row r="43" spans="1:22" s="18" customFormat="1" ht="30" customHeight="1" x14ac:dyDescent="0.3">
      <c r="A43" s="20">
        <f>ROW()-6</f>
        <v>37</v>
      </c>
      <c r="B43" s="75" t="s">
        <v>125</v>
      </c>
      <c r="C43" s="75" t="s">
        <v>126</v>
      </c>
      <c r="D43" s="74" t="s">
        <v>45</v>
      </c>
      <c r="E43" s="23"/>
      <c r="F43" s="21">
        <v>1</v>
      </c>
      <c r="G43" s="78" t="s">
        <v>39</v>
      </c>
      <c r="H43" s="45">
        <v>35</v>
      </c>
      <c r="I43" s="46">
        <v>40</v>
      </c>
      <c r="J43" s="47">
        <v>35</v>
      </c>
      <c r="K43" s="22">
        <v>0.5</v>
      </c>
      <c r="L43" s="22"/>
      <c r="M43" s="22">
        <v>0.2</v>
      </c>
      <c r="N43" s="22"/>
      <c r="O43" s="22">
        <v>0.2</v>
      </c>
      <c r="P43" s="22">
        <v>0.2</v>
      </c>
      <c r="Q43" s="22">
        <v>0.2</v>
      </c>
      <c r="R43" s="22"/>
      <c r="S43" s="22">
        <v>0.2</v>
      </c>
      <c r="T43" s="72">
        <f>SUM($K43:$S43)</f>
        <v>1.4999999999999998</v>
      </c>
      <c r="U43" s="70">
        <f>(K43*$K$5+L43*$L$5+M43*$M$5+N43*$N$5+O43*$O$5+P43*$P$5+Q43*$Q$5+S43*$S$5+R43*$R$5)*$F43</f>
        <v>63120</v>
      </c>
      <c r="V43" s="48">
        <f>ROUNDDOWN($U43,-3)</f>
        <v>63000</v>
      </c>
    </row>
    <row r="44" spans="1:22" s="18" customFormat="1" ht="30" customHeight="1" x14ac:dyDescent="0.3">
      <c r="A44" s="20">
        <f>ROW()-6</f>
        <v>38</v>
      </c>
      <c r="B44" s="75" t="s">
        <v>127</v>
      </c>
      <c r="C44" s="75" t="s">
        <v>128</v>
      </c>
      <c r="D44" s="74" t="s">
        <v>45</v>
      </c>
      <c r="E44" s="23"/>
      <c r="F44" s="21">
        <v>1</v>
      </c>
      <c r="G44" s="78" t="s">
        <v>39</v>
      </c>
      <c r="H44" s="45">
        <v>19</v>
      </c>
      <c r="I44" s="46">
        <v>60</v>
      </c>
      <c r="J44" s="47">
        <v>70</v>
      </c>
      <c r="K44" s="22">
        <v>0.5</v>
      </c>
      <c r="L44" s="22"/>
      <c r="M44" s="22">
        <v>0.2</v>
      </c>
      <c r="N44" s="22"/>
      <c r="O44" s="22">
        <v>0.2</v>
      </c>
      <c r="P44" s="22">
        <v>0.2</v>
      </c>
      <c r="Q44" s="22">
        <v>0.2</v>
      </c>
      <c r="R44" s="22"/>
      <c r="S44" s="22">
        <v>0.2</v>
      </c>
      <c r="T44" s="72">
        <f>SUM($K44:$S44)</f>
        <v>1.4999999999999998</v>
      </c>
      <c r="U44" s="70">
        <f>(K44*$K$5+L44*$L$5+M44*$M$5+N44*$N$5+O44*$O$5+P44*$P$5+Q44*$Q$5+S44*$S$5+R44*$R$5)*$F44</f>
        <v>63120</v>
      </c>
      <c r="V44" s="48">
        <f>ROUNDDOWN($U44,-3)</f>
        <v>63000</v>
      </c>
    </row>
    <row r="45" spans="1:22" s="18" customFormat="1" ht="30" customHeight="1" x14ac:dyDescent="0.3">
      <c r="A45" s="20">
        <f>ROW()-6</f>
        <v>39</v>
      </c>
      <c r="B45" s="75" t="s">
        <v>129</v>
      </c>
      <c r="C45" s="93" t="s">
        <v>49</v>
      </c>
      <c r="D45" s="74" t="s">
        <v>69</v>
      </c>
      <c r="E45" s="23" t="s">
        <v>92</v>
      </c>
      <c r="F45" s="21">
        <v>1</v>
      </c>
      <c r="G45" s="78" t="s">
        <v>70</v>
      </c>
      <c r="H45" s="45">
        <v>25</v>
      </c>
      <c r="I45" s="46"/>
      <c r="J45" s="47">
        <v>120</v>
      </c>
      <c r="K45" s="22"/>
      <c r="L45" s="22"/>
      <c r="M45" s="22"/>
      <c r="N45" s="22">
        <v>0.5</v>
      </c>
      <c r="O45" s="22">
        <v>0.2</v>
      </c>
      <c r="P45" s="22">
        <v>0.2</v>
      </c>
      <c r="Q45" s="22">
        <v>0.2</v>
      </c>
      <c r="R45" s="22">
        <v>2</v>
      </c>
      <c r="S45" s="22">
        <v>0.2</v>
      </c>
      <c r="T45" s="72">
        <f>SUM($K45:$S45)</f>
        <v>3.3</v>
      </c>
      <c r="U45" s="70">
        <f>(K45*$K$5+L45*$L$5+M45*$M$5+N45*$N$5+O45*$O$5+P45*$P$5+Q45*$Q$5+S45*$S$5+R45*$R$5)*$F45</f>
        <v>107620</v>
      </c>
      <c r="V45" s="48">
        <f>ROUNDDOWN($U45,-3)</f>
        <v>107000</v>
      </c>
    </row>
    <row r="46" spans="1:22" s="18" customFormat="1" ht="30" customHeight="1" x14ac:dyDescent="0.3">
      <c r="A46" s="20">
        <f>ROW()-6</f>
        <v>40</v>
      </c>
      <c r="B46" s="75" t="s">
        <v>130</v>
      </c>
      <c r="C46" s="75" t="s">
        <v>131</v>
      </c>
      <c r="D46" s="74" t="s">
        <v>45</v>
      </c>
      <c r="E46" s="23"/>
      <c r="F46" s="21">
        <v>1</v>
      </c>
      <c r="G46" s="78" t="s">
        <v>39</v>
      </c>
      <c r="H46" s="45">
        <v>25</v>
      </c>
      <c r="I46" s="46">
        <v>80</v>
      </c>
      <c r="J46" s="47">
        <v>460</v>
      </c>
      <c r="K46" s="22">
        <v>2</v>
      </c>
      <c r="L46" s="22"/>
      <c r="M46" s="22">
        <v>0.5</v>
      </c>
      <c r="N46" s="22"/>
      <c r="O46" s="22">
        <v>0.5</v>
      </c>
      <c r="P46" s="22">
        <v>0.5</v>
      </c>
      <c r="Q46" s="22">
        <v>0.5</v>
      </c>
      <c r="R46" s="22"/>
      <c r="S46" s="22">
        <v>0.2</v>
      </c>
      <c r="T46" s="72">
        <f>SUM($K46:$S46)</f>
        <v>4.2</v>
      </c>
      <c r="U46" s="70">
        <f>(K46*$K$5+L46*$L$5+M46*$M$5+N46*$N$5+O46*$O$5+P46*$P$5+Q46*$Q$5+S46*$S$5+R46*$R$5)*$F46</f>
        <v>199800</v>
      </c>
      <c r="V46" s="48">
        <f>ROUNDDOWN($U46,-3)</f>
        <v>199000</v>
      </c>
    </row>
    <row r="47" spans="1:22" s="18" customFormat="1" ht="30" customHeight="1" x14ac:dyDescent="0.3">
      <c r="A47" s="20">
        <f>ROW()-6</f>
        <v>41</v>
      </c>
      <c r="B47" s="75" t="s">
        <v>132</v>
      </c>
      <c r="C47" s="94" t="s">
        <v>133</v>
      </c>
      <c r="D47" s="74" t="s">
        <v>40</v>
      </c>
      <c r="E47" s="92" t="s">
        <v>137</v>
      </c>
      <c r="F47" s="21">
        <v>1</v>
      </c>
      <c r="G47" s="78" t="s">
        <v>39</v>
      </c>
      <c r="H47" s="45">
        <v>25</v>
      </c>
      <c r="I47" s="46">
        <v>80</v>
      </c>
      <c r="J47" s="47">
        <v>440</v>
      </c>
      <c r="K47" s="22">
        <v>2</v>
      </c>
      <c r="L47" s="22"/>
      <c r="M47" s="22">
        <v>0.5</v>
      </c>
      <c r="N47" s="22"/>
      <c r="O47" s="22">
        <v>0.5</v>
      </c>
      <c r="P47" s="22">
        <v>0.5</v>
      </c>
      <c r="Q47" s="22">
        <v>0.5</v>
      </c>
      <c r="R47" s="22">
        <v>5</v>
      </c>
      <c r="S47" s="22">
        <v>0.2</v>
      </c>
      <c r="T47" s="72">
        <f>SUM($K47:$S47)</f>
        <v>9.1999999999999993</v>
      </c>
      <c r="U47" s="70">
        <f>(K47*$K$5+L47*$L$5+M47*$M$5+N47*$N$5+O47*$O$5+P47*$P$5+Q47*$Q$5+S47*$S$5+R47*$R$5)*$F47</f>
        <v>374800</v>
      </c>
      <c r="V47" s="48">
        <f>ROUNDDOWN($U47,-3)</f>
        <v>374000</v>
      </c>
    </row>
    <row r="48" spans="1:22" s="18" customFormat="1" ht="30" customHeight="1" x14ac:dyDescent="0.3">
      <c r="A48" s="20">
        <f>ROW()-6</f>
        <v>42</v>
      </c>
      <c r="B48" s="75" t="s">
        <v>134</v>
      </c>
      <c r="C48" s="75" t="s">
        <v>135</v>
      </c>
      <c r="D48" s="74" t="s">
        <v>45</v>
      </c>
      <c r="E48" s="23"/>
      <c r="F48" s="21">
        <v>1</v>
      </c>
      <c r="G48" s="78" t="s">
        <v>39</v>
      </c>
      <c r="H48" s="45">
        <v>38</v>
      </c>
      <c r="I48" s="46">
        <v>30</v>
      </c>
      <c r="J48" s="47">
        <v>60</v>
      </c>
      <c r="K48" s="22">
        <v>0.6</v>
      </c>
      <c r="L48" s="22"/>
      <c r="M48" s="22">
        <v>0.2</v>
      </c>
      <c r="N48" s="22"/>
      <c r="O48" s="22">
        <v>0.2</v>
      </c>
      <c r="P48" s="22">
        <v>0.2</v>
      </c>
      <c r="Q48" s="22">
        <v>0.2</v>
      </c>
      <c r="R48" s="22"/>
      <c r="S48" s="22">
        <v>0.2</v>
      </c>
      <c r="T48" s="72">
        <f>SUM($K48:$S48)</f>
        <v>1.5999999999999999</v>
      </c>
      <c r="U48" s="70">
        <f>(K48*$K$5+L48*$L$5+M48*$M$5+N48*$N$5+O48*$O$5+P48*$P$5+Q48*$Q$5+S48*$S$5+R48*$R$5)*$F48</f>
        <v>70120</v>
      </c>
      <c r="V48" s="48">
        <f>ROUNDDOWN($U48,-3)</f>
        <v>70000</v>
      </c>
    </row>
    <row r="49" spans="1:22" s="18" customFormat="1" ht="30" customHeight="1" thickBot="1" x14ac:dyDescent="0.35">
      <c r="A49" s="38"/>
      <c r="B49" s="76"/>
      <c r="C49" s="77"/>
      <c r="D49" s="36"/>
      <c r="E49" s="39"/>
      <c r="F49" s="39"/>
      <c r="G49" s="40"/>
      <c r="H49" s="41"/>
      <c r="I49" s="42"/>
      <c r="J49" s="43"/>
      <c r="K49" s="37"/>
      <c r="L49" s="37"/>
      <c r="M49" s="37"/>
      <c r="N49" s="37"/>
      <c r="O49" s="37"/>
      <c r="P49" s="37"/>
      <c r="Q49" s="37"/>
      <c r="R49" s="37"/>
      <c r="S49" s="37"/>
      <c r="T49" s="73"/>
      <c r="U49" s="71" t="s">
        <v>32</v>
      </c>
      <c r="V49" s="44">
        <f>SUM(V7:V16)</f>
        <v>872000</v>
      </c>
    </row>
    <row r="50" spans="1:22" ht="15.75" customHeight="1" x14ac:dyDescent="0.3">
      <c r="A50" s="12"/>
      <c r="B50" s="13"/>
      <c r="C50" s="13"/>
      <c r="D50" s="13"/>
      <c r="E50" s="13"/>
      <c r="F50" s="13"/>
      <c r="G50" s="13"/>
      <c r="H50" s="27"/>
      <c r="I50" s="31"/>
      <c r="J50" s="35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5"/>
      <c r="V50" s="15"/>
    </row>
    <row r="52" spans="1:22" ht="26.25" x14ac:dyDescent="0.5">
      <c r="P52" s="83" t="s">
        <v>16</v>
      </c>
      <c r="Q52" s="83"/>
      <c r="R52" s="83"/>
      <c r="S52" s="83"/>
      <c r="T52" s="83"/>
      <c r="U52" s="83"/>
      <c r="V52" s="83"/>
    </row>
    <row r="53" spans="1:22" ht="26.25" x14ac:dyDescent="0.5">
      <c r="C53" s="88" t="s">
        <v>136</v>
      </c>
      <c r="D53" s="89"/>
      <c r="E53" s="89"/>
      <c r="F53" s="89"/>
      <c r="G53" s="89"/>
      <c r="H53" s="89"/>
      <c r="I53" s="89"/>
      <c r="J53" s="89"/>
      <c r="K53" s="89"/>
      <c r="P53" s="84">
        <v>46204</v>
      </c>
      <c r="Q53" s="84"/>
      <c r="R53" s="84"/>
      <c r="S53" s="84"/>
      <c r="T53" s="84"/>
      <c r="U53" s="84"/>
      <c r="V53" s="84"/>
    </row>
    <row r="54" spans="1:22" ht="26.25" x14ac:dyDescent="0.5">
      <c r="C54" s="89"/>
      <c r="D54" s="89"/>
      <c r="E54" s="89"/>
      <c r="F54" s="89"/>
      <c r="G54" s="89"/>
      <c r="H54" s="89"/>
      <c r="I54" s="89"/>
      <c r="J54" s="89"/>
      <c r="K54" s="89"/>
      <c r="P54" s="83" t="s">
        <v>17</v>
      </c>
      <c r="Q54" s="83"/>
      <c r="R54" s="83"/>
      <c r="S54" s="83"/>
      <c r="T54" s="83"/>
      <c r="U54" s="83"/>
      <c r="V54" s="83"/>
    </row>
    <row r="62" spans="1:22" x14ac:dyDescent="0.3">
      <c r="R62" s="16"/>
    </row>
    <row r="74" spans="16:22" ht="16.5" x14ac:dyDescent="0.3">
      <c r="P74" s="17"/>
      <c r="V74" s="17"/>
    </row>
  </sheetData>
  <autoFilter ref="A6:V6">
    <filterColumn colId="7" showButton="0"/>
    <filterColumn colId="8" showButton="0"/>
  </autoFilter>
  <mergeCells count="5">
    <mergeCell ref="P52:V52"/>
    <mergeCell ref="P53:V53"/>
    <mergeCell ref="P54:V54"/>
    <mergeCell ref="H6:J6"/>
    <mergeCell ref="C53:K54"/>
  </mergeCells>
  <phoneticPr fontId="1" type="noConversion"/>
  <conditionalFormatting sqref="B12:B15">
    <cfRule type="duplicateValues" dxfId="46" priority="58"/>
  </conditionalFormatting>
  <conditionalFormatting sqref="C12:C15">
    <cfRule type="duplicateValues" dxfId="45" priority="59"/>
  </conditionalFormatting>
  <conditionalFormatting sqref="B17 B32 B25:B27">
    <cfRule type="duplicateValues" dxfId="44" priority="56"/>
  </conditionalFormatting>
  <conditionalFormatting sqref="C17 C32 C25:C27">
    <cfRule type="duplicateValues" dxfId="43" priority="57"/>
  </conditionalFormatting>
  <conditionalFormatting sqref="B28:B31">
    <cfRule type="duplicateValues" dxfId="42" priority="54"/>
  </conditionalFormatting>
  <conditionalFormatting sqref="C28:C31">
    <cfRule type="duplicateValues" dxfId="41" priority="55"/>
  </conditionalFormatting>
  <conditionalFormatting sqref="B18 B24">
    <cfRule type="duplicateValues" dxfId="40" priority="52"/>
  </conditionalFormatting>
  <conditionalFormatting sqref="C18 C24">
    <cfRule type="duplicateValues" dxfId="39" priority="53"/>
  </conditionalFormatting>
  <conditionalFormatting sqref="B20:B21 B23">
    <cfRule type="duplicateValues" dxfId="38" priority="50"/>
  </conditionalFormatting>
  <conditionalFormatting sqref="C20:C21 C23">
    <cfRule type="duplicateValues" dxfId="37" priority="51"/>
  </conditionalFormatting>
  <conditionalFormatting sqref="B16">
    <cfRule type="duplicateValues" dxfId="36" priority="49"/>
  </conditionalFormatting>
  <conditionalFormatting sqref="B19">
    <cfRule type="duplicateValues" dxfId="35" priority="47"/>
  </conditionalFormatting>
  <conditionalFormatting sqref="C19">
    <cfRule type="duplicateValues" dxfId="34" priority="48"/>
  </conditionalFormatting>
  <conditionalFormatting sqref="B22">
    <cfRule type="duplicateValues" dxfId="33" priority="45"/>
  </conditionalFormatting>
  <conditionalFormatting sqref="C22">
    <cfRule type="duplicateValues" dxfId="32" priority="46"/>
  </conditionalFormatting>
  <conditionalFormatting sqref="B33:B34">
    <cfRule type="duplicateValues" dxfId="31" priority="41"/>
  </conditionalFormatting>
  <conditionalFormatting sqref="C33:C34">
    <cfRule type="duplicateValues" dxfId="30" priority="42"/>
  </conditionalFormatting>
  <conditionalFormatting sqref="B40">
    <cfRule type="duplicateValues" dxfId="29" priority="39"/>
  </conditionalFormatting>
  <conditionalFormatting sqref="C40">
    <cfRule type="duplicateValues" dxfId="28" priority="40"/>
  </conditionalFormatting>
  <conditionalFormatting sqref="B39">
    <cfRule type="duplicateValues" dxfId="27" priority="37"/>
  </conditionalFormatting>
  <conditionalFormatting sqref="C39">
    <cfRule type="duplicateValues" dxfId="26" priority="38"/>
  </conditionalFormatting>
  <conditionalFormatting sqref="B38">
    <cfRule type="duplicateValues" dxfId="25" priority="35"/>
  </conditionalFormatting>
  <conditionalFormatting sqref="C38">
    <cfRule type="duplicateValues" dxfId="24" priority="36"/>
  </conditionalFormatting>
  <conditionalFormatting sqref="B37">
    <cfRule type="duplicateValues" dxfId="23" priority="33"/>
  </conditionalFormatting>
  <conditionalFormatting sqref="C37">
    <cfRule type="duplicateValues" dxfId="22" priority="34"/>
  </conditionalFormatting>
  <conditionalFormatting sqref="B36">
    <cfRule type="duplicateValues" dxfId="21" priority="31"/>
  </conditionalFormatting>
  <conditionalFormatting sqref="C36">
    <cfRule type="duplicateValues" dxfId="20" priority="32"/>
  </conditionalFormatting>
  <conditionalFormatting sqref="B35">
    <cfRule type="duplicateValues" dxfId="19" priority="29"/>
  </conditionalFormatting>
  <conditionalFormatting sqref="C35">
    <cfRule type="duplicateValues" dxfId="18" priority="30"/>
  </conditionalFormatting>
  <conditionalFormatting sqref="B45">
    <cfRule type="duplicateValues" dxfId="17" priority="27"/>
  </conditionalFormatting>
  <conditionalFormatting sqref="C45">
    <cfRule type="duplicateValues" dxfId="16" priority="28"/>
  </conditionalFormatting>
  <conditionalFormatting sqref="B44">
    <cfRule type="duplicateValues" dxfId="15" priority="25"/>
  </conditionalFormatting>
  <conditionalFormatting sqref="C44">
    <cfRule type="duplicateValues" dxfId="14" priority="26"/>
  </conditionalFormatting>
  <conditionalFormatting sqref="B43">
    <cfRule type="duplicateValues" dxfId="13" priority="23"/>
  </conditionalFormatting>
  <conditionalFormatting sqref="C43">
    <cfRule type="duplicateValues" dxfId="12" priority="24"/>
  </conditionalFormatting>
  <conditionalFormatting sqref="B42">
    <cfRule type="duplicateValues" dxfId="11" priority="21"/>
  </conditionalFormatting>
  <conditionalFormatting sqref="C42">
    <cfRule type="duplicateValues" dxfId="10" priority="22"/>
  </conditionalFormatting>
  <conditionalFormatting sqref="B41">
    <cfRule type="duplicateValues" dxfId="9" priority="19"/>
  </conditionalFormatting>
  <conditionalFormatting sqref="C41">
    <cfRule type="duplicateValues" dxfId="8" priority="20"/>
  </conditionalFormatting>
  <conditionalFormatting sqref="B48">
    <cfRule type="duplicateValues" dxfId="7" priority="5"/>
  </conditionalFormatting>
  <conditionalFormatting sqref="C48">
    <cfRule type="duplicateValues" dxfId="6" priority="6"/>
  </conditionalFormatting>
  <conditionalFormatting sqref="B47">
    <cfRule type="duplicateValues" dxfId="5" priority="3"/>
  </conditionalFormatting>
  <conditionalFormatting sqref="C47">
    <cfRule type="duplicateValues" dxfId="4" priority="4"/>
  </conditionalFormatting>
  <conditionalFormatting sqref="B46">
    <cfRule type="duplicateValues" dxfId="3" priority="1"/>
  </conditionalFormatting>
  <conditionalFormatting sqref="C46">
    <cfRule type="duplicateValues" dxfId="2" priority="2"/>
  </conditionalFormatting>
  <conditionalFormatting sqref="B7:B11 B49">
    <cfRule type="duplicateValues" dxfId="1" priority="99"/>
  </conditionalFormatting>
  <conditionalFormatting sqref="C16 C7:C11">
    <cfRule type="duplicateValues" dxfId="0" priority="101"/>
  </conditionalFormatting>
  <pageMargins left="0.19685039370078741" right="0.19685039370078741" top="0.59055118110236227" bottom="0.43307086614173229" header="0.51181102362204722" footer="0.35433070866141736"/>
  <pageSetup paperSize="9" scale="50" fitToHeight="0" orientation="landscape" r:id="rId1"/>
  <headerFooter alignWithMargins="0">
    <oddHeader xml:space="preserve">&amp;R&amp;N장 중 &amp;P페이지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견적서</vt:lpstr>
      <vt:lpstr>기계</vt:lpstr>
      <vt:lpstr>Sheet1</vt:lpstr>
      <vt:lpstr>기계!Print_Area</vt:lpstr>
      <vt:lpstr>기계!Print_Titles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T1</cp:lastModifiedBy>
  <cp:lastPrinted>2026-07-02T03:45:32Z</cp:lastPrinted>
  <dcterms:created xsi:type="dcterms:W3CDTF">2019-03-03T23:00:53Z</dcterms:created>
  <dcterms:modified xsi:type="dcterms:W3CDTF">2026-07-02T03:45:40Z</dcterms:modified>
</cp:coreProperties>
</file>