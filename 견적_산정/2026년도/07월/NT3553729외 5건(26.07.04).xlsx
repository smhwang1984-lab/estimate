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생산부서 자료실\견적_산정\2026년도\07월\"/>
    </mc:Choice>
  </mc:AlternateContent>
  <bookViews>
    <workbookView xWindow="0" yWindow="0" windowWidth="28800" windowHeight="12870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기계!$A$6:$W$6</definedName>
    <definedName name="_Order1" hidden="1">255</definedName>
    <definedName name="a">[1]ISA3월!$D$16135</definedName>
    <definedName name="_xlnm.Print_Area" localSheetId="1">기계!$A$1:$W$19</definedName>
    <definedName name="_xlnm.Print_Titles" localSheetId="1">기계!$2:$6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0" l="1"/>
  <c r="V9" i="10"/>
  <c r="V10" i="10"/>
  <c r="V11" i="10"/>
  <c r="V12" i="10"/>
  <c r="V13" i="10"/>
  <c r="V7" i="10"/>
  <c r="U8" i="10"/>
  <c r="U9" i="10"/>
  <c r="U10" i="10"/>
  <c r="U11" i="10"/>
  <c r="U12" i="10"/>
  <c r="U13" i="10"/>
  <c r="U7" i="10"/>
  <c r="G56" i="9" l="1"/>
  <c r="E5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16" i="9"/>
  <c r="E15" i="9"/>
  <c r="C47" i="9"/>
  <c r="C48" i="9"/>
  <c r="C49" i="9"/>
  <c r="C50" i="9"/>
  <c r="C51" i="9"/>
  <c r="C52" i="9"/>
  <c r="C53" i="9"/>
  <c r="C54" i="9"/>
  <c r="C55" i="9"/>
  <c r="C5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18" i="9"/>
  <c r="C19" i="9"/>
  <c r="C20" i="9"/>
  <c r="C21" i="9"/>
  <c r="C22" i="9"/>
  <c r="C23" i="9"/>
  <c r="C24" i="9"/>
  <c r="C25" i="9"/>
  <c r="C26" i="9"/>
  <c r="C17" i="9"/>
  <c r="C16" i="9"/>
  <c r="C15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56" i="9"/>
  <c r="B55" i="9"/>
  <c r="B54" i="9"/>
  <c r="B53" i="9"/>
  <c r="B52" i="9"/>
  <c r="B51" i="9"/>
  <c r="B50" i="9"/>
  <c r="B49" i="9"/>
  <c r="B48" i="9"/>
  <c r="B47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G55" i="9"/>
  <c r="G54" i="9"/>
  <c r="G51" i="9"/>
  <c r="G50" i="9"/>
  <c r="G49" i="9"/>
  <c r="G53" i="9"/>
  <c r="G52" i="9"/>
  <c r="G46" i="9"/>
  <c r="G45" i="9"/>
  <c r="G44" i="9"/>
  <c r="G43" i="9"/>
  <c r="G48" i="9"/>
  <c r="G47" i="9"/>
  <c r="G42" i="9"/>
  <c r="G41" i="9"/>
  <c r="G32" i="9"/>
  <c r="G31" i="9"/>
  <c r="G30" i="9"/>
  <c r="G29" i="9"/>
  <c r="G28" i="9"/>
  <c r="G27" i="9"/>
  <c r="G26" i="9"/>
  <c r="G40" i="9"/>
  <c r="G39" i="9"/>
  <c r="G38" i="9"/>
  <c r="G37" i="9"/>
  <c r="G36" i="9"/>
  <c r="G35" i="9"/>
  <c r="G34" i="9"/>
  <c r="G33" i="9"/>
  <c r="G25" i="9"/>
  <c r="G23" i="9"/>
  <c r="G22" i="9"/>
  <c r="W13" i="10"/>
  <c r="G21" i="9" s="1"/>
  <c r="A13" i="10"/>
  <c r="W12" i="10"/>
  <c r="G20" i="9" s="1"/>
  <c r="A12" i="10"/>
  <c r="A11" i="10" l="1"/>
  <c r="A10" i="10"/>
  <c r="A9" i="10"/>
  <c r="A8" i="10"/>
  <c r="A7" i="10"/>
  <c r="G24" i="9"/>
  <c r="W11" i="10"/>
  <c r="G19" i="9" s="1"/>
  <c r="W10" i="10"/>
  <c r="G18" i="9" s="1"/>
  <c r="W9" i="10"/>
  <c r="G17" i="9" s="1"/>
  <c r="W8" i="10"/>
  <c r="G16" i="9" s="1"/>
  <c r="W7" i="10"/>
  <c r="G15" i="9" s="1"/>
  <c r="W14" i="10" l="1"/>
  <c r="G57" i="9" s="1"/>
</calcChain>
</file>

<file path=xl/sharedStrings.xml><?xml version="1.0" encoding="utf-8"?>
<sst xmlns="http://schemas.openxmlformats.org/spreadsheetml/2006/main" count="73" uniqueCount="67">
  <si>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</si>
  <si>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</si>
  <si>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</si>
  <si>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</si>
  <si>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</si>
  <si>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</si>
  <si>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</si>
  <si>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</si>
  <si>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</si>
  <si>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</si>
  <si>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</si>
  <si>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</si>
  <si>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</si>
  <si>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</si>
  <si>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</si>
  <si>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</si>
  <si>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</si>
  <si>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</si>
  <si>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</si>
  <si>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</si>
  <si>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</si>
  <si>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</si>
  <si>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</si>
  <si>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</si>
  <si>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</si>
  <si>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</si>
  <si>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</si>
  <si>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</si>
  <si>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</si>
  <si>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</si>
  <si>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</si>
  <si>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</si>
  <si>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</si>
  <si>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</si>
  <si>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</si>
  <si>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</si>
  <si>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No</t>
    <phoneticPr fontId="1" type="noConversion"/>
  </si>
  <si>
    <t xml:space="preserve"> 품 번</t>
    <phoneticPr fontId="1" type="noConversion"/>
  </si>
  <si>
    <t>품 명</t>
    <phoneticPr fontId="1" type="noConversion"/>
  </si>
  <si>
    <t>견적 단가</t>
    <phoneticPr fontId="1" type="noConversion"/>
  </si>
  <si>
    <t xml:space="preserve"> 합 계 </t>
    <phoneticPr fontId="1" type="noConversion"/>
  </si>
  <si>
    <t>치구</t>
    <phoneticPr fontId="1" type="noConversion"/>
  </si>
  <si>
    <t>프로그램</t>
    <phoneticPr fontId="4" type="noConversion"/>
  </si>
  <si>
    <t>NT3553729</t>
    <phoneticPr fontId="1" type="noConversion"/>
  </si>
  <si>
    <t>손잡이, 래치용</t>
    <phoneticPr fontId="1" type="noConversion"/>
  </si>
  <si>
    <t>KS D 3698 STS 2T</t>
    <phoneticPr fontId="1" type="noConversion"/>
  </si>
  <si>
    <t>밴딩 가공 확인 필용 자재 2T</t>
    <phoneticPr fontId="1" type="noConversion"/>
  </si>
  <si>
    <t>NT3553762</t>
    <phoneticPr fontId="1" type="noConversion"/>
  </si>
  <si>
    <t>고정블럭</t>
    <phoneticPr fontId="1" type="noConversion"/>
  </si>
  <si>
    <t>KS D 3752, SM45C</t>
    <phoneticPr fontId="1" type="noConversion"/>
  </si>
  <si>
    <t>NT3553761</t>
    <phoneticPr fontId="1" type="noConversion"/>
  </si>
  <si>
    <t>고정 브래킷</t>
    <phoneticPr fontId="1" type="noConversion"/>
  </si>
  <si>
    <t>HRc18-24</t>
    <phoneticPr fontId="1" type="noConversion"/>
  </si>
  <si>
    <t>NT3553728</t>
    <phoneticPr fontId="1" type="noConversion"/>
  </si>
  <si>
    <t>핀, 회전용</t>
    <phoneticPr fontId="1" type="noConversion"/>
  </si>
  <si>
    <t>CNC 선반</t>
    <phoneticPr fontId="1" type="noConversion"/>
  </si>
  <si>
    <t>HRc28-32</t>
    <phoneticPr fontId="1" type="noConversion"/>
  </si>
  <si>
    <t>KS D 3867, SCM440</t>
    <phoneticPr fontId="1" type="noConversion"/>
  </si>
  <si>
    <t>NT3553726</t>
    <phoneticPr fontId="1" type="noConversion"/>
  </si>
  <si>
    <t>래치</t>
    <phoneticPr fontId="1" type="noConversion"/>
  </si>
  <si>
    <t>표시 부 최소 R데이터
따라 방전 가공 필요</t>
    <phoneticPr fontId="1" type="noConversion"/>
  </si>
  <si>
    <t>NT3553725</t>
    <phoneticPr fontId="1" type="noConversion"/>
  </si>
  <si>
    <t>핀, 위치 결정용</t>
    <phoneticPr fontId="1" type="noConversion"/>
  </si>
  <si>
    <t>NT3553724</t>
    <phoneticPr fontId="1" type="noConversion"/>
  </si>
  <si>
    <t>브래킷, 래치용</t>
    <phoneticPr fontId="1" type="noConversion"/>
  </si>
  <si>
    <t>KS D 37505, STS304</t>
    <phoneticPr fontId="1" type="noConversion"/>
  </si>
  <si>
    <t>Coment : 1번 밴딩 제품 및 가공 확인 필요, 4, 6번 선반 제품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</si>
</sst>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&quot;₩&quot;#,##0_);[Red]\(&quot;₩&quot;#,##0\)"/>
    <numFmt numFmtId="177" formatCode="_-* #,##0.0_-;\-* #,##0.0_-;_-* &quot;-&quot;_-;_-@_-"/>
    <numFmt numFmtId="178" formatCode="0.00;;"/>
    <numFmt numFmtId="179" formatCode="0.0"/>
    <numFmt numFmtId="180" formatCode="&quot;T&quot;\ #,##0.0"/>
    <numFmt numFmtId="181" formatCode="&quot;W &quot;0.0\ "/>
    <numFmt numFmtId="182" formatCode="&quot;L &quot;0.0"/>
  </numFmts>
  <fonts count="3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1" fillId="0" borderId="0" xfId="8" applyFont="1" applyAlignment="1">
      <alignment horizontal="right" vertical="center" wrapText="1"/>
    </xf>
    <xf numFmtId="0" fontId="22" fillId="0" borderId="0" xfId="8" applyFont="1" applyAlignment="1">
      <alignment horizontal="left" vertical="center" wrapText="1"/>
    </xf>
    <xf numFmtId="177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0" fillId="0" borderId="0" xfId="8" applyFont="1" applyAlignment="1">
      <alignment vertical="center" wrapText="1"/>
    </xf>
    <xf numFmtId="0" fontId="24" fillId="0" borderId="0" xfId="8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11" applyFont="1" applyBorder="1" applyAlignment="1">
      <alignment horizontal="center" vertical="center"/>
    </xf>
    <xf numFmtId="177" fontId="24" fillId="0" borderId="7" xfId="1" applyNumberFormat="1" applyFont="1" applyFill="1" applyBorder="1" applyAlignment="1">
      <alignment horizontal="center" vertical="center"/>
    </xf>
    <xf numFmtId="0" fontId="19" fillId="0" borderId="9" xfId="11" applyFont="1" applyBorder="1" applyAlignment="1">
      <alignment horizontal="center" vertical="center"/>
    </xf>
    <xf numFmtId="180" fontId="12" fillId="0" borderId="0" xfId="8" applyNumberFormat="1" applyFont="1">
      <alignment vertical="center"/>
    </xf>
    <xf numFmtId="180" fontId="14" fillId="0" borderId="0" xfId="8" applyNumberFormat="1" applyFont="1">
      <alignment vertical="center"/>
    </xf>
    <xf numFmtId="180" fontId="16" fillId="0" borderId="0" xfId="0" applyNumberFormat="1" applyFont="1">
      <alignment vertical="center"/>
    </xf>
    <xf numFmtId="180" fontId="22" fillId="0" borderId="0" xfId="8" applyNumberFormat="1" applyFont="1" applyAlignment="1">
      <alignment horizontal="left" vertical="center" wrapText="1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2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2" fillId="0" borderId="0" xfId="8" applyNumberFormat="1" applyFont="1" applyAlignment="1">
      <alignment horizontal="left" vertical="center" wrapText="1"/>
    </xf>
    <xf numFmtId="0" fontId="19" fillId="0" borderId="4" xfId="11" applyFont="1" applyBorder="1" applyAlignment="1">
      <alignment horizontal="center" vertical="center" wrapText="1" shrinkToFit="1"/>
    </xf>
    <xf numFmtId="177" fontId="24" fillId="0" borderId="4" xfId="1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11" applyFont="1" applyBorder="1" applyAlignment="1">
      <alignment horizontal="center" vertical="center"/>
    </xf>
    <xf numFmtId="0" fontId="12" fillId="0" borderId="4" xfId="8" applyFont="1" applyBorder="1">
      <alignment vertical="center"/>
    </xf>
    <xf numFmtId="180" fontId="16" fillId="0" borderId="4" xfId="11" applyNumberFormat="1" applyFont="1" applyBorder="1" applyAlignment="1">
      <alignment horizontal="center" vertical="center"/>
    </xf>
    <xf numFmtId="181" fontId="16" fillId="0" borderId="4" xfId="11" applyNumberFormat="1" applyFont="1" applyBorder="1" applyAlignment="1">
      <alignment horizontal="center" vertical="center"/>
    </xf>
    <xf numFmtId="182" fontId="16" fillId="0" borderId="4" xfId="11" applyNumberFormat="1" applyFont="1" applyBorder="1" applyAlignment="1">
      <alignment horizontal="center" vertical="center" shrinkToFit="1"/>
    </xf>
    <xf numFmtId="41" fontId="25" fillId="2" borderId="5" xfId="1" applyFont="1" applyFill="1" applyBorder="1" applyAlignment="1">
      <alignment horizontal="center" vertical="center"/>
    </xf>
    <xf numFmtId="180" fontId="14" fillId="0" borderId="7" xfId="8" applyNumberFormat="1" applyFont="1" applyBorder="1" applyAlignment="1">
      <alignment horizontal="center" vertical="center"/>
    </xf>
    <xf numFmtId="181" fontId="14" fillId="0" borderId="7" xfId="8" applyNumberFormat="1" applyFont="1" applyBorder="1" applyAlignment="1">
      <alignment horizontal="center" vertical="center"/>
    </xf>
    <xf numFmtId="182" fontId="6" fillId="0" borderId="7" xfId="0" applyNumberFormat="1" applyFont="1" applyBorder="1" applyAlignment="1">
      <alignment horizontal="center" vertical="center"/>
    </xf>
    <xf numFmtId="41" fontId="25" fillId="0" borderId="8" xfId="1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7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shrinkToFit="1"/>
    </xf>
    <xf numFmtId="0" fontId="18" fillId="3" borderId="12" xfId="11" applyFont="1" applyFill="1" applyBorder="1" applyAlignment="1">
      <alignment horizontal="center" vertical="center" wrapText="1"/>
    </xf>
    <xf numFmtId="178" fontId="18" fillId="3" borderId="12" xfId="12" applyNumberFormat="1" applyFont="1" applyFill="1" applyBorder="1" applyAlignment="1">
      <alignment horizontal="center" vertical="center"/>
    </xf>
    <xf numFmtId="0" fontId="25" fillId="3" borderId="12" xfId="8" applyFont="1" applyFill="1" applyBorder="1" applyAlignment="1">
      <alignment horizontal="center" vertical="center"/>
    </xf>
    <xf numFmtId="0" fontId="25" fillId="3" borderId="16" xfId="8" applyFont="1" applyFill="1" applyBorder="1" applyAlignment="1">
      <alignment horizontal="center" vertical="center"/>
    </xf>
    <xf numFmtId="41" fontId="27" fillId="2" borderId="10" xfId="1" applyFont="1" applyFill="1" applyBorder="1" applyAlignment="1"/>
    <xf numFmtId="0" fontId="28" fillId="0" borderId="0" xfId="8" applyFont="1" applyAlignment="1">
      <alignment horizontal="centerContinuous" vertical="center"/>
    </xf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>
      <alignment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 applyAlignment="1">
      <alignment horizontal="left" vertical="center"/>
    </xf>
    <xf numFmtId="0" fontId="36" fillId="0" borderId="0" xfId="8" applyFont="1">
      <alignment vertical="center"/>
    </xf>
    <xf numFmtId="0" fontId="35" fillId="0" borderId="0" xfId="8" applyFont="1">
      <alignment vertical="center"/>
    </xf>
    <xf numFmtId="0" fontId="37" fillId="0" borderId="0" xfId="8" applyFont="1">
      <alignment vertical="center"/>
    </xf>
    <xf numFmtId="0" fontId="37" fillId="0" borderId="0" xfId="9" applyFont="1">
      <alignment vertical="center"/>
    </xf>
    <xf numFmtId="0" fontId="25" fillId="3" borderId="15" xfId="8" applyFont="1" applyFill="1" applyBorder="1" applyAlignment="1">
      <alignment horizontal="center" vertical="center"/>
    </xf>
    <xf numFmtId="177" fontId="24" fillId="0" borderId="17" xfId="1" applyNumberFormat="1" applyFont="1" applyFill="1" applyBorder="1" applyAlignment="1">
      <alignment horizontal="center" vertical="center"/>
    </xf>
    <xf numFmtId="177" fontId="24" fillId="0" borderId="18" xfId="1" applyNumberFormat="1" applyFont="1" applyFill="1" applyBorder="1" applyAlignment="1">
      <alignment horizontal="center" vertical="center"/>
    </xf>
    <xf numFmtId="177" fontId="24" fillId="4" borderId="8" xfId="1" applyNumberFormat="1" applyFont="1" applyFill="1" applyBorder="1" applyAlignment="1">
      <alignment horizontal="center" vertical="center"/>
    </xf>
    <xf numFmtId="177" fontId="24" fillId="0" borderId="5" xfId="1" applyNumberFormat="1" applyFont="1" applyFill="1" applyBorder="1" applyAlignment="1">
      <alignment horizontal="center" vertical="center"/>
    </xf>
    <xf numFmtId="0" fontId="19" fillId="0" borderId="7" xfId="11" applyFont="1" applyBorder="1" applyAlignment="1">
      <alignment horizontal="center" vertical="center" wrapText="1" shrinkToFit="1"/>
    </xf>
    <xf numFmtId="179" fontId="19" fillId="0" borderId="7" xfId="11" applyNumberFormat="1" applyFont="1" applyBorder="1" applyAlignment="1">
      <alignment horizontal="left" vertical="center" indent="1" shrinkToFit="1"/>
    </xf>
    <xf numFmtId="179" fontId="19" fillId="0" borderId="4" xfId="11" applyNumberFormat="1" applyFont="1" applyBorder="1" applyAlignment="1">
      <alignment horizontal="left" vertical="center" indent="1" shrinkToFit="1"/>
    </xf>
    <xf numFmtId="0" fontId="19" fillId="0" borderId="4" xfId="11" applyFont="1" applyBorder="1" applyAlignment="1">
      <alignment horizontal="left" vertical="center" indent="1" shrinkToFit="1"/>
    </xf>
    <xf numFmtId="0" fontId="12" fillId="0" borderId="7" xfId="8" applyFont="1" applyBorder="1" applyAlignment="1">
      <alignment horizontal="left" vertical="center" indent="1"/>
    </xf>
    <xf numFmtId="181" fontId="14" fillId="0" borderId="7" xfId="8" applyNumberFormat="1" applyFont="1" applyFill="1" applyBorder="1" applyAlignment="1">
      <alignment horizontal="center" vertical="center"/>
    </xf>
    <xf numFmtId="0" fontId="19" fillId="0" borderId="9" xfId="11" applyFont="1" applyBorder="1" applyAlignment="1">
      <alignment horizontal="center" vertical="center" wrapText="1"/>
    </xf>
    <xf numFmtId="0" fontId="10" fillId="0" borderId="23" xfId="8" applyFont="1" applyBorder="1">
      <alignment vertical="center"/>
    </xf>
    <xf numFmtId="0" fontId="10" fillId="0" borderId="20" xfId="8" applyFont="1" applyBorder="1" applyAlignment="1">
      <alignment horizontal="center" vertical="center"/>
    </xf>
    <xf numFmtId="0" fontId="10" fillId="0" borderId="30" xfId="8" applyFont="1" applyBorder="1" applyAlignment="1">
      <alignment horizontal="center" vertical="center"/>
    </xf>
    <xf numFmtId="0" fontId="10" fillId="0" borderId="36" xfId="8" applyFont="1" applyBorder="1" applyAlignment="1">
      <alignment horizontal="left" vertical="center" indent="1"/>
    </xf>
    <xf numFmtId="0" fontId="10" fillId="0" borderId="37" xfId="8" applyFont="1" applyBorder="1" applyAlignment="1">
      <alignment horizontal="left" vertical="center" indent="1"/>
    </xf>
    <xf numFmtId="0" fontId="10" fillId="0" borderId="38" xfId="8" applyFont="1" applyBorder="1" applyAlignment="1">
      <alignment horizontal="left" vertical="center" indent="1"/>
    </xf>
    <xf numFmtId="0" fontId="10" fillId="0" borderId="26" xfId="8" applyFont="1" applyBorder="1" applyAlignment="1">
      <alignment horizontal="left" vertical="center" indent="1"/>
    </xf>
    <xf numFmtId="0" fontId="10" fillId="0" borderId="27" xfId="8" applyFont="1" applyBorder="1" applyAlignment="1">
      <alignment horizontal="left" vertical="center" indent="1"/>
    </xf>
    <xf numFmtId="0" fontId="10" fillId="0" borderId="19" xfId="8" applyFont="1" applyBorder="1" applyAlignment="1">
      <alignment horizontal="left" vertical="center" indent="1"/>
    </xf>
    <xf numFmtId="176" fontId="10" fillId="0" borderId="21" xfId="8" applyNumberFormat="1" applyFont="1" applyBorder="1" applyAlignment="1">
      <alignment horizontal="right" vertical="center" indent="1"/>
    </xf>
    <xf numFmtId="176" fontId="10" fillId="0" borderId="22" xfId="8" applyNumberFormat="1" applyFont="1" applyBorder="1" applyAlignment="1">
      <alignment horizontal="right" vertical="center" indent="1"/>
    </xf>
    <xf numFmtId="0" fontId="10" fillId="0" borderId="39" xfId="8" applyFont="1" applyBorder="1" applyAlignment="1">
      <alignment horizontal="left" vertical="center" indent="1"/>
    </xf>
    <xf numFmtId="176" fontId="10" fillId="0" borderId="39" xfId="8" applyNumberFormat="1" applyFont="1" applyBorder="1" applyAlignment="1">
      <alignment horizontal="right" vertical="center" indent="1"/>
    </xf>
    <xf numFmtId="176" fontId="10" fillId="0" borderId="40" xfId="8" applyNumberFormat="1" applyFont="1" applyBorder="1" applyAlignment="1">
      <alignment horizontal="right" vertical="center" indent="1"/>
    </xf>
    <xf numFmtId="0" fontId="10" fillId="0" borderId="31" xfId="8" applyFont="1" applyBorder="1" applyAlignment="1">
      <alignment horizontal="left" vertical="center" indent="1"/>
    </xf>
    <xf numFmtId="0" fontId="10" fillId="0" borderId="32" xfId="8" applyFont="1" applyBorder="1" applyAlignment="1">
      <alignment horizontal="left" vertical="center" indent="1"/>
    </xf>
    <xf numFmtId="0" fontId="10" fillId="0" borderId="33" xfId="8" applyFont="1" applyBorder="1" applyAlignment="1">
      <alignment horizontal="left" vertical="center" indent="1"/>
    </xf>
    <xf numFmtId="176" fontId="10" fillId="0" borderId="34" xfId="8" applyNumberFormat="1" applyFont="1" applyBorder="1" applyAlignment="1">
      <alignment horizontal="right" vertical="center" indent="1"/>
    </xf>
    <xf numFmtId="176" fontId="10" fillId="0" borderId="35" xfId="8" applyNumberFormat="1" applyFont="1" applyBorder="1" applyAlignment="1">
      <alignment horizontal="right" vertical="center" indent="1"/>
    </xf>
    <xf numFmtId="0" fontId="10" fillId="0" borderId="21" xfId="8" applyFont="1" applyBorder="1" applyAlignment="1">
      <alignment horizontal="left" vertical="center" indent="1"/>
    </xf>
    <xf numFmtId="0" fontId="10" fillId="0" borderId="28" xfId="8" applyFont="1" applyBorder="1" applyAlignment="1">
      <alignment horizontal="left" vertical="center" indent="1"/>
    </xf>
    <xf numFmtId="0" fontId="10" fillId="0" borderId="29" xfId="8" applyFont="1" applyBorder="1" applyAlignment="1">
      <alignment horizontal="left" vertical="center" indent="1"/>
    </xf>
    <xf numFmtId="0" fontId="10" fillId="0" borderId="24" xfId="8" applyFont="1" applyBorder="1" applyAlignment="1">
      <alignment horizontal="center" vertical="center"/>
    </xf>
    <xf numFmtId="0" fontId="10" fillId="0" borderId="25" xfId="8" applyFont="1" applyBorder="1" applyAlignment="1">
      <alignment horizontal="center" vertical="center"/>
    </xf>
    <xf numFmtId="0" fontId="37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24" fillId="0" borderId="2" xfId="8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/>
    </xf>
    <xf numFmtId="0" fontId="23" fillId="0" borderId="0" xfId="8" applyFont="1" applyAlignment="1">
      <alignment horizontal="left"/>
    </xf>
    <xf numFmtId="14" fontId="23" fillId="0" borderId="0" xfId="8" applyNumberFormat="1" applyFont="1" applyAlignment="1">
      <alignment horizontal="left"/>
    </xf>
    <xf numFmtId="0" fontId="17" fillId="3" borderId="13" xfId="11" applyFont="1" applyFill="1" applyBorder="1" applyAlignment="1">
      <alignment horizontal="center" vertical="center" shrinkToFit="1"/>
    </xf>
    <xf numFmtId="0" fontId="17" fillId="3" borderId="14" xfId="11" applyFont="1" applyFill="1" applyBorder="1" applyAlignment="1">
      <alignment horizontal="center" vertical="center" shrinkToFit="1"/>
    </xf>
    <xf numFmtId="0" fontId="17" fillId="3" borderId="15" xfId="11" applyFont="1" applyFill="1" applyBorder="1" applyAlignment="1">
      <alignment horizontal="center" vertical="center" shrinkToFit="1"/>
    </xf>
    <xf numFmtId="0" fontId="38" fillId="0" borderId="0" xfId="8" applyFont="1" applyAlignment="1">
      <alignment horizontal="left" vertical="center" wrapText="1" indent="1"/>
    </xf>
    <xf numFmtId="0" fontId="38" fillId="0" borderId="0" xfId="8" applyFont="1" applyAlignment="1">
      <alignment horizontal="left" vertical="center" indent="1"/>
    </xf>
    <xf numFmtId="177" fontId="24" fillId="5" borderId="7" xfId="1" applyNumberFormat="1" applyFont="1" applyFill="1" applyBorder="1" applyAlignment="1">
      <alignment horizontal="center" vertical="center"/>
    </xf>
    <xf numFmtId="179" fontId="19" fillId="0" borderId="7" xfId="11" applyNumberFormat="1" applyFont="1" applyFill="1" applyBorder="1" applyAlignment="1">
      <alignment horizontal="left" vertical="center" indent="1" shrinkToFi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67"/>
  <sheetViews>
    <sheetView tabSelected="1" topLeftCell="B1" workbookViewId="0">
      <selection activeCell="E20" sqref="E20:F20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7" t="s">
        <v>2</v>
      </c>
      <c r="C1" s="58"/>
      <c r="D1" s="58"/>
      <c r="E1" s="58"/>
      <c r="F1" s="58"/>
      <c r="G1" s="58"/>
      <c r="H1" s="58"/>
    </row>
    <row r="2" spans="2:8" ht="27" x14ac:dyDescent="0.3">
      <c r="B2" s="59"/>
      <c r="C2" s="60"/>
      <c r="D2" s="60"/>
      <c r="E2" s="60"/>
      <c r="F2" s="60"/>
      <c r="G2" s="60"/>
      <c r="H2" s="60"/>
    </row>
    <row r="3" spans="2:8" x14ac:dyDescent="0.3">
      <c r="B3" s="61"/>
      <c r="C3" s="61"/>
      <c r="D3" s="61"/>
      <c r="E3" s="61"/>
      <c r="F3" s="62"/>
      <c r="G3" s="63"/>
      <c r="H3" s="63"/>
    </row>
    <row r="4" spans="2:8" ht="39.950000000000003" customHeight="1" x14ac:dyDescent="0.3">
      <c r="B4" s="64" t="s">
        <v>28</v>
      </c>
      <c r="C4" s="65"/>
      <c r="D4" s="65"/>
      <c r="E4" s="65"/>
      <c r="F4" s="66"/>
      <c r="G4" s="66"/>
      <c r="H4" s="66"/>
    </row>
    <row r="5" spans="2:8" ht="21" customHeight="1" x14ac:dyDescent="0.3">
      <c r="B5" s="105" t="s">
        <v>30</v>
      </c>
      <c r="C5" s="105"/>
      <c r="D5" s="105"/>
      <c r="E5" s="105"/>
      <c r="F5" s="67" t="s">
        <v>29</v>
      </c>
      <c r="G5" s="67"/>
      <c r="H5" s="67"/>
    </row>
    <row r="6" spans="2:8" ht="24.75" customHeight="1" x14ac:dyDescent="0.3">
      <c r="B6" s="105" t="s">
        <v>1</v>
      </c>
      <c r="C6" s="105"/>
      <c r="D6" s="105"/>
      <c r="E6" s="105"/>
      <c r="F6" s="67" t="s">
        <v>25</v>
      </c>
      <c r="G6" s="67"/>
      <c r="H6" s="67"/>
    </row>
    <row r="7" spans="2:8" ht="24.75" customHeight="1" x14ac:dyDescent="0.3">
      <c r="B7" s="105" t="s">
        <v>35</v>
      </c>
      <c r="C7" s="105"/>
      <c r="D7" s="105"/>
      <c r="E7" s="105"/>
      <c r="F7" s="106" t="s">
        <v>26</v>
      </c>
      <c r="G7" s="106"/>
      <c r="H7" s="106"/>
    </row>
    <row r="8" spans="2:8" ht="24.75" customHeight="1" x14ac:dyDescent="0.3">
      <c r="B8" s="68" t="s">
        <v>24</v>
      </c>
      <c r="C8" s="67"/>
      <c r="D8" s="67"/>
      <c r="E8" s="67"/>
      <c r="F8" s="67" t="s">
        <v>27</v>
      </c>
      <c r="G8" s="67"/>
      <c r="H8" s="67"/>
    </row>
    <row r="9" spans="2:8" ht="24.75" customHeight="1" x14ac:dyDescent="0.3">
      <c r="B9" s="67" t="s">
        <v>0</v>
      </c>
      <c r="C9" s="67"/>
      <c r="D9" s="67"/>
      <c r="E9" s="67"/>
      <c r="F9" s="67" t="s">
        <v>34</v>
      </c>
      <c r="G9" s="67"/>
      <c r="H9" s="67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6.25" customHeight="1" thickBot="1" x14ac:dyDescent="0.35">
      <c r="B13" s="3"/>
      <c r="C13" s="3"/>
      <c r="D13" s="3"/>
      <c r="E13" s="3"/>
      <c r="F13" s="2"/>
      <c r="G13" s="3"/>
      <c r="H13" s="3"/>
    </row>
    <row r="14" spans="2:8" ht="24.75" customHeight="1" thickBot="1" x14ac:dyDescent="0.35">
      <c r="B14" s="81" t="s">
        <v>36</v>
      </c>
      <c r="C14" s="103" t="s">
        <v>37</v>
      </c>
      <c r="D14" s="103"/>
      <c r="E14" s="103" t="s">
        <v>38</v>
      </c>
      <c r="F14" s="103"/>
      <c r="G14" s="103" t="s">
        <v>39</v>
      </c>
      <c r="H14" s="104"/>
    </row>
    <row r="15" spans="2:8" ht="24.75" customHeight="1" thickTop="1" x14ac:dyDescent="0.3">
      <c r="B15" s="82">
        <f>ROW()-14</f>
        <v>1</v>
      </c>
      <c r="C15" s="101" t="str">
        <f>기계!$B7</f>
        <v>NT3553729</v>
      </c>
      <c r="D15" s="102"/>
      <c r="E15" s="100" t="str">
        <f>기계!$C7</f>
        <v>손잡이, 래치용</v>
      </c>
      <c r="F15" s="100"/>
      <c r="G15" s="90">
        <f>기계!$W7</f>
        <v>96000</v>
      </c>
      <c r="H15" s="91"/>
    </row>
    <row r="16" spans="2:8" ht="24.75" customHeight="1" x14ac:dyDescent="0.3">
      <c r="B16" s="82">
        <f t="shared" ref="B16:B56" si="0">ROW()-14</f>
        <v>2</v>
      </c>
      <c r="C16" s="87" t="str">
        <f>기계!$B8</f>
        <v>NT3553762</v>
      </c>
      <c r="D16" s="88"/>
      <c r="E16" s="89" t="str">
        <f>기계!$C8</f>
        <v>고정블럭</v>
      </c>
      <c r="F16" s="89"/>
      <c r="G16" s="90">
        <f>기계!$W8</f>
        <v>71000</v>
      </c>
      <c r="H16" s="91"/>
    </row>
    <row r="17" spans="2:8" ht="24.75" customHeight="1" x14ac:dyDescent="0.3">
      <c r="B17" s="82">
        <f t="shared" si="0"/>
        <v>3</v>
      </c>
      <c r="C17" s="87" t="str">
        <f>기계!$B9</f>
        <v>NT3553761</v>
      </c>
      <c r="D17" s="88"/>
      <c r="E17" s="89" t="str">
        <f>기계!$C9</f>
        <v>고정 브래킷</v>
      </c>
      <c r="F17" s="89"/>
      <c r="G17" s="90">
        <f>기계!$W9</f>
        <v>245000</v>
      </c>
      <c r="H17" s="91"/>
    </row>
    <row r="18" spans="2:8" ht="24.75" customHeight="1" x14ac:dyDescent="0.3">
      <c r="B18" s="82">
        <f t="shared" si="0"/>
        <v>4</v>
      </c>
      <c r="C18" s="87" t="str">
        <f>기계!$B10</f>
        <v>NT3553728</v>
      </c>
      <c r="D18" s="88"/>
      <c r="E18" s="89" t="str">
        <f>기계!$C10</f>
        <v>핀, 회전용</v>
      </c>
      <c r="F18" s="89"/>
      <c r="G18" s="90">
        <f>기계!$W10</f>
        <v>0</v>
      </c>
      <c r="H18" s="91"/>
    </row>
    <row r="19" spans="2:8" ht="24.75" customHeight="1" x14ac:dyDescent="0.3">
      <c r="B19" s="82">
        <f t="shared" si="0"/>
        <v>5</v>
      </c>
      <c r="C19" s="87" t="str">
        <f>기계!$B11</f>
        <v>NT3553726</v>
      </c>
      <c r="D19" s="88"/>
      <c r="E19" s="89" t="str">
        <f>기계!$C11</f>
        <v>래치</v>
      </c>
      <c r="F19" s="89"/>
      <c r="G19" s="90">
        <f>기계!$W11</f>
        <v>230000</v>
      </c>
      <c r="H19" s="91"/>
    </row>
    <row r="20" spans="2:8" ht="24.75" customHeight="1" x14ac:dyDescent="0.3">
      <c r="B20" s="82">
        <f t="shared" si="0"/>
        <v>6</v>
      </c>
      <c r="C20" s="87" t="str">
        <f>기계!$B12</f>
        <v>NT3553725</v>
      </c>
      <c r="D20" s="88"/>
      <c r="E20" s="89" t="str">
        <f>기계!$C12</f>
        <v>핀, 위치 결정용</v>
      </c>
      <c r="F20" s="89"/>
      <c r="G20" s="90">
        <f>기계!$W12</f>
        <v>0</v>
      </c>
      <c r="H20" s="91"/>
    </row>
    <row r="21" spans="2:8" ht="24.75" customHeight="1" x14ac:dyDescent="0.3">
      <c r="B21" s="82">
        <f t="shared" si="0"/>
        <v>7</v>
      </c>
      <c r="C21" s="87" t="str">
        <f>기계!$B13</f>
        <v>NT3553724</v>
      </c>
      <c r="D21" s="88"/>
      <c r="E21" s="89" t="str">
        <f>기계!$C13</f>
        <v>브래킷, 래치용</v>
      </c>
      <c r="F21" s="89"/>
      <c r="G21" s="90">
        <f>기계!$W13</f>
        <v>75000</v>
      </c>
      <c r="H21" s="91"/>
    </row>
    <row r="22" spans="2:8" ht="24.75" hidden="1" customHeight="1" x14ac:dyDescent="0.3">
      <c r="B22" s="82">
        <f t="shared" si="0"/>
        <v>8</v>
      </c>
      <c r="C22" s="87" t="e">
        <f>기계!#REF!</f>
        <v>#REF!</v>
      </c>
      <c r="D22" s="88"/>
      <c r="E22" s="89" t="e">
        <f>기계!#REF!</f>
        <v>#REF!</v>
      </c>
      <c r="F22" s="89"/>
      <c r="G22" s="90" t="e">
        <f>기계!#REF!</f>
        <v>#REF!</v>
      </c>
      <c r="H22" s="91"/>
    </row>
    <row r="23" spans="2:8" ht="24.75" hidden="1" customHeight="1" x14ac:dyDescent="0.3">
      <c r="B23" s="82">
        <f t="shared" si="0"/>
        <v>9</v>
      </c>
      <c r="C23" s="87" t="e">
        <f>기계!#REF!</f>
        <v>#REF!</v>
      </c>
      <c r="D23" s="88"/>
      <c r="E23" s="89" t="e">
        <f>기계!#REF!</f>
        <v>#REF!</v>
      </c>
      <c r="F23" s="89"/>
      <c r="G23" s="90" t="e">
        <f>기계!#REF!</f>
        <v>#REF!</v>
      </c>
      <c r="H23" s="91"/>
    </row>
    <row r="24" spans="2:8" ht="24.75" hidden="1" customHeight="1" x14ac:dyDescent="0.3">
      <c r="B24" s="82">
        <f t="shared" si="0"/>
        <v>10</v>
      </c>
      <c r="C24" s="87" t="e">
        <f>기계!#REF!</f>
        <v>#REF!</v>
      </c>
      <c r="D24" s="88"/>
      <c r="E24" s="89" t="e">
        <f>기계!#REF!</f>
        <v>#REF!</v>
      </c>
      <c r="F24" s="89"/>
      <c r="G24" s="90" t="e">
        <f>기계!#REF!</f>
        <v>#REF!</v>
      </c>
      <c r="H24" s="91"/>
    </row>
    <row r="25" spans="2:8" ht="24.75" hidden="1" customHeight="1" x14ac:dyDescent="0.3">
      <c r="B25" s="82">
        <f t="shared" si="0"/>
        <v>11</v>
      </c>
      <c r="C25" s="87" t="e">
        <f>기계!#REF!</f>
        <v>#REF!</v>
      </c>
      <c r="D25" s="88"/>
      <c r="E25" s="89" t="e">
        <f>기계!#REF!</f>
        <v>#REF!</v>
      </c>
      <c r="F25" s="89"/>
      <c r="G25" s="90" t="e">
        <f>기계!#REF!</f>
        <v>#REF!</v>
      </c>
      <c r="H25" s="91"/>
    </row>
    <row r="26" spans="2:8" ht="24.75" hidden="1" customHeight="1" x14ac:dyDescent="0.3">
      <c r="B26" s="82">
        <f t="shared" si="0"/>
        <v>12</v>
      </c>
      <c r="C26" s="87" t="e">
        <f>기계!#REF!</f>
        <v>#REF!</v>
      </c>
      <c r="D26" s="88"/>
      <c r="E26" s="89" t="e">
        <f>기계!#REF!</f>
        <v>#REF!</v>
      </c>
      <c r="F26" s="89"/>
      <c r="G26" s="90" t="e">
        <f>기계!#REF!</f>
        <v>#REF!</v>
      </c>
      <c r="H26" s="91"/>
    </row>
    <row r="27" spans="2:8" ht="24.75" hidden="1" customHeight="1" x14ac:dyDescent="0.3">
      <c r="B27" s="82">
        <f t="shared" si="0"/>
        <v>13</v>
      </c>
      <c r="C27" s="87" t="e">
        <f>기계!#REF!</f>
        <v>#REF!</v>
      </c>
      <c r="D27" s="88"/>
      <c r="E27" s="89" t="e">
        <f>기계!#REF!</f>
        <v>#REF!</v>
      </c>
      <c r="F27" s="89"/>
      <c r="G27" s="90" t="e">
        <f>기계!#REF!</f>
        <v>#REF!</v>
      </c>
      <c r="H27" s="91"/>
    </row>
    <row r="28" spans="2:8" ht="24.75" hidden="1" customHeight="1" x14ac:dyDescent="0.3">
      <c r="B28" s="82">
        <f t="shared" si="0"/>
        <v>14</v>
      </c>
      <c r="C28" s="87" t="e">
        <f>기계!#REF!</f>
        <v>#REF!</v>
      </c>
      <c r="D28" s="88"/>
      <c r="E28" s="89" t="e">
        <f>기계!#REF!</f>
        <v>#REF!</v>
      </c>
      <c r="F28" s="89"/>
      <c r="G28" s="90" t="e">
        <f>기계!#REF!</f>
        <v>#REF!</v>
      </c>
      <c r="H28" s="91"/>
    </row>
    <row r="29" spans="2:8" ht="24.75" hidden="1" customHeight="1" x14ac:dyDescent="0.3">
      <c r="B29" s="82">
        <f t="shared" si="0"/>
        <v>15</v>
      </c>
      <c r="C29" s="87" t="e">
        <f>기계!#REF!</f>
        <v>#REF!</v>
      </c>
      <c r="D29" s="88"/>
      <c r="E29" s="89" t="e">
        <f>기계!#REF!</f>
        <v>#REF!</v>
      </c>
      <c r="F29" s="89"/>
      <c r="G29" s="90" t="e">
        <f>기계!#REF!</f>
        <v>#REF!</v>
      </c>
      <c r="H29" s="91"/>
    </row>
    <row r="30" spans="2:8" ht="24.75" hidden="1" customHeight="1" x14ac:dyDescent="0.3">
      <c r="B30" s="82">
        <f t="shared" si="0"/>
        <v>16</v>
      </c>
      <c r="C30" s="87" t="e">
        <f>기계!#REF!</f>
        <v>#REF!</v>
      </c>
      <c r="D30" s="88"/>
      <c r="E30" s="89" t="e">
        <f>기계!#REF!</f>
        <v>#REF!</v>
      </c>
      <c r="F30" s="89"/>
      <c r="G30" s="90" t="e">
        <f>기계!#REF!</f>
        <v>#REF!</v>
      </c>
      <c r="H30" s="91"/>
    </row>
    <row r="31" spans="2:8" ht="24.75" hidden="1" customHeight="1" x14ac:dyDescent="0.3">
      <c r="B31" s="82">
        <f t="shared" si="0"/>
        <v>17</v>
      </c>
      <c r="C31" s="87" t="e">
        <f>기계!#REF!</f>
        <v>#REF!</v>
      </c>
      <c r="D31" s="88"/>
      <c r="E31" s="89" t="e">
        <f>기계!#REF!</f>
        <v>#REF!</v>
      </c>
      <c r="F31" s="89"/>
      <c r="G31" s="90" t="e">
        <f>기계!#REF!</f>
        <v>#REF!</v>
      </c>
      <c r="H31" s="91"/>
    </row>
    <row r="32" spans="2:8" ht="24.75" hidden="1" customHeight="1" x14ac:dyDescent="0.3">
      <c r="B32" s="82">
        <f t="shared" si="0"/>
        <v>18</v>
      </c>
      <c r="C32" s="87" t="e">
        <f>기계!#REF!</f>
        <v>#REF!</v>
      </c>
      <c r="D32" s="88"/>
      <c r="E32" s="89" t="e">
        <f>기계!#REF!</f>
        <v>#REF!</v>
      </c>
      <c r="F32" s="89"/>
      <c r="G32" s="90" t="e">
        <f>기계!#REF!</f>
        <v>#REF!</v>
      </c>
      <c r="H32" s="91"/>
    </row>
    <row r="33" spans="2:8" ht="24.75" hidden="1" customHeight="1" x14ac:dyDescent="0.3">
      <c r="B33" s="82">
        <f t="shared" si="0"/>
        <v>19</v>
      </c>
      <c r="C33" s="87" t="e">
        <f>기계!#REF!</f>
        <v>#REF!</v>
      </c>
      <c r="D33" s="88"/>
      <c r="E33" s="89" t="e">
        <f>기계!#REF!</f>
        <v>#REF!</v>
      </c>
      <c r="F33" s="89"/>
      <c r="G33" s="90" t="e">
        <f>기계!#REF!</f>
        <v>#REF!</v>
      </c>
      <c r="H33" s="91"/>
    </row>
    <row r="34" spans="2:8" ht="24.75" hidden="1" customHeight="1" x14ac:dyDescent="0.3">
      <c r="B34" s="82">
        <f t="shared" si="0"/>
        <v>20</v>
      </c>
      <c r="C34" s="87" t="e">
        <f>기계!#REF!</f>
        <v>#REF!</v>
      </c>
      <c r="D34" s="88"/>
      <c r="E34" s="89" t="e">
        <f>기계!#REF!</f>
        <v>#REF!</v>
      </c>
      <c r="F34" s="89"/>
      <c r="G34" s="90" t="e">
        <f>기계!#REF!</f>
        <v>#REF!</v>
      </c>
      <c r="H34" s="91"/>
    </row>
    <row r="35" spans="2:8" ht="24.75" hidden="1" customHeight="1" x14ac:dyDescent="0.3">
      <c r="B35" s="82">
        <f t="shared" si="0"/>
        <v>21</v>
      </c>
      <c r="C35" s="87" t="e">
        <f>기계!#REF!</f>
        <v>#REF!</v>
      </c>
      <c r="D35" s="88"/>
      <c r="E35" s="89" t="e">
        <f>기계!#REF!</f>
        <v>#REF!</v>
      </c>
      <c r="F35" s="89"/>
      <c r="G35" s="90" t="e">
        <f>기계!#REF!</f>
        <v>#REF!</v>
      </c>
      <c r="H35" s="91"/>
    </row>
    <row r="36" spans="2:8" ht="24.75" hidden="1" customHeight="1" x14ac:dyDescent="0.3">
      <c r="B36" s="82">
        <f t="shared" si="0"/>
        <v>22</v>
      </c>
      <c r="C36" s="87" t="e">
        <f>기계!#REF!</f>
        <v>#REF!</v>
      </c>
      <c r="D36" s="88"/>
      <c r="E36" s="89" t="e">
        <f>기계!#REF!</f>
        <v>#REF!</v>
      </c>
      <c r="F36" s="89"/>
      <c r="G36" s="90" t="e">
        <f>기계!#REF!</f>
        <v>#REF!</v>
      </c>
      <c r="H36" s="91"/>
    </row>
    <row r="37" spans="2:8" ht="24.75" hidden="1" customHeight="1" x14ac:dyDescent="0.3">
      <c r="B37" s="82">
        <f t="shared" si="0"/>
        <v>23</v>
      </c>
      <c r="C37" s="87" t="e">
        <f>기계!#REF!</f>
        <v>#REF!</v>
      </c>
      <c r="D37" s="88"/>
      <c r="E37" s="89" t="e">
        <f>기계!#REF!</f>
        <v>#REF!</v>
      </c>
      <c r="F37" s="89"/>
      <c r="G37" s="90" t="e">
        <f>기계!#REF!</f>
        <v>#REF!</v>
      </c>
      <c r="H37" s="91"/>
    </row>
    <row r="38" spans="2:8" ht="24.75" hidden="1" customHeight="1" x14ac:dyDescent="0.3">
      <c r="B38" s="82">
        <f t="shared" si="0"/>
        <v>24</v>
      </c>
      <c r="C38" s="87" t="e">
        <f>기계!#REF!</f>
        <v>#REF!</v>
      </c>
      <c r="D38" s="88"/>
      <c r="E38" s="89" t="e">
        <f>기계!#REF!</f>
        <v>#REF!</v>
      </c>
      <c r="F38" s="89"/>
      <c r="G38" s="90" t="e">
        <f>기계!#REF!</f>
        <v>#REF!</v>
      </c>
      <c r="H38" s="91"/>
    </row>
    <row r="39" spans="2:8" ht="24.75" hidden="1" customHeight="1" x14ac:dyDescent="0.3">
      <c r="B39" s="82">
        <f t="shared" si="0"/>
        <v>25</v>
      </c>
      <c r="C39" s="87" t="e">
        <f>기계!#REF!</f>
        <v>#REF!</v>
      </c>
      <c r="D39" s="88"/>
      <c r="E39" s="89" t="e">
        <f>기계!#REF!</f>
        <v>#REF!</v>
      </c>
      <c r="F39" s="89"/>
      <c r="G39" s="90" t="e">
        <f>기계!#REF!</f>
        <v>#REF!</v>
      </c>
      <c r="H39" s="91"/>
    </row>
    <row r="40" spans="2:8" ht="24.75" hidden="1" customHeight="1" x14ac:dyDescent="0.3">
      <c r="B40" s="82">
        <f t="shared" si="0"/>
        <v>26</v>
      </c>
      <c r="C40" s="87" t="e">
        <f>기계!#REF!</f>
        <v>#REF!</v>
      </c>
      <c r="D40" s="88"/>
      <c r="E40" s="89" t="e">
        <f>기계!#REF!</f>
        <v>#REF!</v>
      </c>
      <c r="F40" s="89"/>
      <c r="G40" s="90" t="e">
        <f>기계!#REF!</f>
        <v>#REF!</v>
      </c>
      <c r="H40" s="91"/>
    </row>
    <row r="41" spans="2:8" ht="24.75" hidden="1" customHeight="1" x14ac:dyDescent="0.3">
      <c r="B41" s="82">
        <f t="shared" si="0"/>
        <v>27</v>
      </c>
      <c r="C41" s="87" t="e">
        <f>기계!#REF!</f>
        <v>#REF!</v>
      </c>
      <c r="D41" s="88"/>
      <c r="E41" s="89" t="e">
        <f>기계!#REF!</f>
        <v>#REF!</v>
      </c>
      <c r="F41" s="89"/>
      <c r="G41" s="90" t="e">
        <f>기계!#REF!</f>
        <v>#REF!</v>
      </c>
      <c r="H41" s="91"/>
    </row>
    <row r="42" spans="2:8" ht="24.75" hidden="1" customHeight="1" x14ac:dyDescent="0.3">
      <c r="B42" s="82">
        <f t="shared" si="0"/>
        <v>28</v>
      </c>
      <c r="C42" s="87" t="e">
        <f>기계!#REF!</f>
        <v>#REF!</v>
      </c>
      <c r="D42" s="88"/>
      <c r="E42" s="89" t="e">
        <f>기계!#REF!</f>
        <v>#REF!</v>
      </c>
      <c r="F42" s="89"/>
      <c r="G42" s="90" t="e">
        <f>기계!#REF!</f>
        <v>#REF!</v>
      </c>
      <c r="H42" s="91"/>
    </row>
    <row r="43" spans="2:8" ht="24.75" hidden="1" customHeight="1" x14ac:dyDescent="0.3">
      <c r="B43" s="82">
        <f t="shared" si="0"/>
        <v>29</v>
      </c>
      <c r="C43" s="87" t="e">
        <f>기계!#REF!</f>
        <v>#REF!</v>
      </c>
      <c r="D43" s="88"/>
      <c r="E43" s="89" t="e">
        <f>기계!#REF!</f>
        <v>#REF!</v>
      </c>
      <c r="F43" s="89"/>
      <c r="G43" s="90" t="e">
        <f>기계!#REF!</f>
        <v>#REF!</v>
      </c>
      <c r="H43" s="91"/>
    </row>
    <row r="44" spans="2:8" ht="24.75" hidden="1" customHeight="1" x14ac:dyDescent="0.3">
      <c r="B44" s="82">
        <f t="shared" si="0"/>
        <v>30</v>
      </c>
      <c r="C44" s="87" t="e">
        <f>기계!#REF!</f>
        <v>#REF!</v>
      </c>
      <c r="D44" s="88"/>
      <c r="E44" s="89" t="e">
        <f>기계!#REF!</f>
        <v>#REF!</v>
      </c>
      <c r="F44" s="89"/>
      <c r="G44" s="90" t="e">
        <f>기계!#REF!</f>
        <v>#REF!</v>
      </c>
      <c r="H44" s="91"/>
    </row>
    <row r="45" spans="2:8" ht="24.75" hidden="1" customHeight="1" x14ac:dyDescent="0.3">
      <c r="B45" s="82">
        <f t="shared" si="0"/>
        <v>31</v>
      </c>
      <c r="C45" s="87" t="e">
        <f>기계!#REF!</f>
        <v>#REF!</v>
      </c>
      <c r="D45" s="88"/>
      <c r="E45" s="89" t="e">
        <f>기계!#REF!</f>
        <v>#REF!</v>
      </c>
      <c r="F45" s="89"/>
      <c r="G45" s="90" t="e">
        <f>기계!#REF!</f>
        <v>#REF!</v>
      </c>
      <c r="H45" s="91"/>
    </row>
    <row r="46" spans="2:8" ht="24.75" hidden="1" customHeight="1" x14ac:dyDescent="0.3">
      <c r="B46" s="82">
        <f t="shared" si="0"/>
        <v>32</v>
      </c>
      <c r="C46" s="87" t="e">
        <f>기계!#REF!</f>
        <v>#REF!</v>
      </c>
      <c r="D46" s="88"/>
      <c r="E46" s="89" t="e">
        <f>기계!#REF!</f>
        <v>#REF!</v>
      </c>
      <c r="F46" s="89"/>
      <c r="G46" s="90" t="e">
        <f>기계!#REF!</f>
        <v>#REF!</v>
      </c>
      <c r="H46" s="91"/>
    </row>
    <row r="47" spans="2:8" ht="24.75" hidden="1" customHeight="1" x14ac:dyDescent="0.3">
      <c r="B47" s="82">
        <f t="shared" si="0"/>
        <v>33</v>
      </c>
      <c r="C47" s="87" t="e">
        <f>기계!#REF!</f>
        <v>#REF!</v>
      </c>
      <c r="D47" s="88"/>
      <c r="E47" s="89" t="e">
        <f>기계!#REF!</f>
        <v>#REF!</v>
      </c>
      <c r="F47" s="89"/>
      <c r="G47" s="90" t="e">
        <f>기계!#REF!</f>
        <v>#REF!</v>
      </c>
      <c r="H47" s="91"/>
    </row>
    <row r="48" spans="2:8" ht="24.75" hidden="1" customHeight="1" x14ac:dyDescent="0.3">
      <c r="B48" s="82">
        <f t="shared" si="0"/>
        <v>34</v>
      </c>
      <c r="C48" s="87" t="e">
        <f>기계!#REF!</f>
        <v>#REF!</v>
      </c>
      <c r="D48" s="88"/>
      <c r="E48" s="89" t="e">
        <f>기계!#REF!</f>
        <v>#REF!</v>
      </c>
      <c r="F48" s="89"/>
      <c r="G48" s="90" t="e">
        <f>기계!#REF!</f>
        <v>#REF!</v>
      </c>
      <c r="H48" s="91"/>
    </row>
    <row r="49" spans="2:8" ht="24.75" hidden="1" customHeight="1" x14ac:dyDescent="0.3">
      <c r="B49" s="82">
        <f t="shared" si="0"/>
        <v>35</v>
      </c>
      <c r="C49" s="87" t="e">
        <f>기계!#REF!</f>
        <v>#REF!</v>
      </c>
      <c r="D49" s="88"/>
      <c r="E49" s="89" t="e">
        <f>기계!#REF!</f>
        <v>#REF!</v>
      </c>
      <c r="F49" s="89"/>
      <c r="G49" s="90" t="e">
        <f>기계!#REF!</f>
        <v>#REF!</v>
      </c>
      <c r="H49" s="91"/>
    </row>
    <row r="50" spans="2:8" ht="24.75" hidden="1" customHeight="1" x14ac:dyDescent="0.3">
      <c r="B50" s="82">
        <f t="shared" si="0"/>
        <v>36</v>
      </c>
      <c r="C50" s="87" t="e">
        <f>기계!#REF!</f>
        <v>#REF!</v>
      </c>
      <c r="D50" s="88"/>
      <c r="E50" s="89" t="e">
        <f>기계!#REF!</f>
        <v>#REF!</v>
      </c>
      <c r="F50" s="89"/>
      <c r="G50" s="90" t="e">
        <f>기계!#REF!</f>
        <v>#REF!</v>
      </c>
      <c r="H50" s="91"/>
    </row>
    <row r="51" spans="2:8" ht="24.75" hidden="1" customHeight="1" x14ac:dyDescent="0.3">
      <c r="B51" s="82">
        <f t="shared" si="0"/>
        <v>37</v>
      </c>
      <c r="C51" s="87" t="e">
        <f>기계!#REF!</f>
        <v>#REF!</v>
      </c>
      <c r="D51" s="88"/>
      <c r="E51" s="89" t="e">
        <f>기계!#REF!</f>
        <v>#REF!</v>
      </c>
      <c r="F51" s="89"/>
      <c r="G51" s="90" t="e">
        <f>기계!#REF!</f>
        <v>#REF!</v>
      </c>
      <c r="H51" s="91"/>
    </row>
    <row r="52" spans="2:8" ht="24.75" hidden="1" customHeight="1" x14ac:dyDescent="0.3">
      <c r="B52" s="82">
        <f t="shared" si="0"/>
        <v>38</v>
      </c>
      <c r="C52" s="87" t="e">
        <f>기계!#REF!</f>
        <v>#REF!</v>
      </c>
      <c r="D52" s="88"/>
      <c r="E52" s="89" t="e">
        <f>기계!#REF!</f>
        <v>#REF!</v>
      </c>
      <c r="F52" s="89"/>
      <c r="G52" s="90" t="e">
        <f>기계!#REF!</f>
        <v>#REF!</v>
      </c>
      <c r="H52" s="91"/>
    </row>
    <row r="53" spans="2:8" ht="24.75" hidden="1" customHeight="1" x14ac:dyDescent="0.3">
      <c r="B53" s="82">
        <f t="shared" si="0"/>
        <v>39</v>
      </c>
      <c r="C53" s="87" t="e">
        <f>기계!#REF!</f>
        <v>#REF!</v>
      </c>
      <c r="D53" s="88"/>
      <c r="E53" s="89" t="e">
        <f>기계!#REF!</f>
        <v>#REF!</v>
      </c>
      <c r="F53" s="89"/>
      <c r="G53" s="90" t="e">
        <f>기계!#REF!</f>
        <v>#REF!</v>
      </c>
      <c r="H53" s="91"/>
    </row>
    <row r="54" spans="2:8" ht="24.75" hidden="1" customHeight="1" x14ac:dyDescent="0.3">
      <c r="B54" s="82">
        <f t="shared" si="0"/>
        <v>40</v>
      </c>
      <c r="C54" s="87" t="e">
        <f>기계!#REF!</f>
        <v>#REF!</v>
      </c>
      <c r="D54" s="88"/>
      <c r="E54" s="89" t="e">
        <f>기계!#REF!</f>
        <v>#REF!</v>
      </c>
      <c r="F54" s="89"/>
      <c r="G54" s="90" t="e">
        <f>기계!#REF!</f>
        <v>#REF!</v>
      </c>
      <c r="H54" s="91"/>
    </row>
    <row r="55" spans="2:8" ht="24.75" hidden="1" customHeight="1" x14ac:dyDescent="0.3">
      <c r="B55" s="82">
        <f t="shared" si="0"/>
        <v>41</v>
      </c>
      <c r="C55" s="87" t="e">
        <f>기계!#REF!</f>
        <v>#REF!</v>
      </c>
      <c r="D55" s="88"/>
      <c r="E55" s="89" t="e">
        <f>기계!#REF!</f>
        <v>#REF!</v>
      </c>
      <c r="F55" s="89"/>
      <c r="G55" s="90" t="e">
        <f>기계!#REF!</f>
        <v>#REF!</v>
      </c>
      <c r="H55" s="91"/>
    </row>
    <row r="56" spans="2:8" ht="24.75" hidden="1" customHeight="1" x14ac:dyDescent="0.3">
      <c r="B56" s="83">
        <f t="shared" si="0"/>
        <v>42</v>
      </c>
      <c r="C56" s="95" t="e">
        <f>기계!#REF!</f>
        <v>#REF!</v>
      </c>
      <c r="D56" s="96"/>
      <c r="E56" s="97" t="e">
        <f>기계!#REF!</f>
        <v>#REF!</v>
      </c>
      <c r="F56" s="97"/>
      <c r="G56" s="98" t="e">
        <f>기계!#REF!</f>
        <v>#REF!</v>
      </c>
      <c r="H56" s="99"/>
    </row>
    <row r="57" spans="2:8" ht="24.75" customHeight="1" thickBot="1" x14ac:dyDescent="0.35">
      <c r="B57" s="84" t="s">
        <v>40</v>
      </c>
      <c r="C57" s="85"/>
      <c r="D57" s="86"/>
      <c r="E57" s="92"/>
      <c r="F57" s="92"/>
      <c r="G57" s="93">
        <f>기계!$W14</f>
        <v>717000</v>
      </c>
      <c r="H57" s="94"/>
    </row>
    <row r="58" spans="2:8" ht="24.75" customHeight="1" x14ac:dyDescent="0.3"/>
    <row r="59" spans="2:8" ht="24.75" customHeight="1" x14ac:dyDescent="0.3"/>
    <row r="60" spans="2:8" ht="24.75" customHeight="1" x14ac:dyDescent="0.3"/>
    <row r="61" spans="2:8" ht="24.75" customHeight="1" x14ac:dyDescent="0.3"/>
    <row r="62" spans="2:8" ht="24.75" customHeight="1" x14ac:dyDescent="0.3"/>
    <row r="63" spans="2:8" ht="24.75" customHeight="1" x14ac:dyDescent="0.3"/>
    <row r="64" spans="2:8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75" ht="24.75" customHeight="1" x14ac:dyDescent="0.3"/>
    <row r="76" ht="24.75" customHeight="1" x14ac:dyDescent="0.3"/>
    <row r="77" ht="24.75" customHeight="1" x14ac:dyDescent="0.3"/>
    <row r="78" ht="24.75" customHeight="1" x14ac:dyDescent="0.3"/>
    <row r="79" ht="24.75" customHeight="1" x14ac:dyDescent="0.3"/>
    <row r="80" ht="24.75" customHeight="1" x14ac:dyDescent="0.3"/>
    <row r="81" ht="24.75" customHeight="1" x14ac:dyDescent="0.3"/>
    <row r="82" ht="24.75" customHeight="1" x14ac:dyDescent="0.3"/>
    <row r="83" ht="24.75" customHeight="1" x14ac:dyDescent="0.3"/>
    <row r="1048567" spans="3:4" ht="13.5" customHeight="1" x14ac:dyDescent="0.3">
      <c r="C1048567" s="107"/>
      <c r="D1048567" s="108"/>
    </row>
  </sheetData>
  <mergeCells count="137">
    <mergeCell ref="C1048567:D1048567"/>
    <mergeCell ref="C24:D24"/>
    <mergeCell ref="C25:D25"/>
    <mergeCell ref="C28:D28"/>
    <mergeCell ref="E22:F22"/>
    <mergeCell ref="E23:F23"/>
    <mergeCell ref="E24:F24"/>
    <mergeCell ref="E25:F25"/>
    <mergeCell ref="E28:F28"/>
    <mergeCell ref="C47:D47"/>
    <mergeCell ref="C32:D32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G30:H30"/>
    <mergeCell ref="G32:H32"/>
    <mergeCell ref="G47:H47"/>
    <mergeCell ref="G54:H54"/>
    <mergeCell ref="C21:D21"/>
    <mergeCell ref="C53:D53"/>
    <mergeCell ref="E53:F53"/>
    <mergeCell ref="C27:D27"/>
    <mergeCell ref="E27:F27"/>
    <mergeCell ref="C31:D31"/>
    <mergeCell ref="E31:F31"/>
    <mergeCell ref="E54:F54"/>
    <mergeCell ref="E21:F21"/>
    <mergeCell ref="C26:D26"/>
    <mergeCell ref="E26:F26"/>
    <mergeCell ref="G26:H26"/>
    <mergeCell ref="G27:H27"/>
    <mergeCell ref="G31:H31"/>
    <mergeCell ref="E29:F29"/>
    <mergeCell ref="E30:F30"/>
    <mergeCell ref="E32:F32"/>
    <mergeCell ref="E47:F47"/>
    <mergeCell ref="C22:D22"/>
    <mergeCell ref="C23:D23"/>
    <mergeCell ref="G19:H19"/>
    <mergeCell ref="G20:H20"/>
    <mergeCell ref="G21:H21"/>
    <mergeCell ref="G22:H22"/>
    <mergeCell ref="G23:H23"/>
    <mergeCell ref="G24:H24"/>
    <mergeCell ref="G25:H25"/>
    <mergeCell ref="G28:H28"/>
    <mergeCell ref="G29:H29"/>
    <mergeCell ref="G15:H15"/>
    <mergeCell ref="E15:F15"/>
    <mergeCell ref="C15:D15"/>
    <mergeCell ref="C54:D54"/>
    <mergeCell ref="C14:D14"/>
    <mergeCell ref="E14:F14"/>
    <mergeCell ref="G14:H14"/>
    <mergeCell ref="E52:F52"/>
    <mergeCell ref="G52:H52"/>
    <mergeCell ref="C33:D33"/>
    <mergeCell ref="E33:F33"/>
    <mergeCell ref="G33:H33"/>
    <mergeCell ref="C34:D34"/>
    <mergeCell ref="E34:F34"/>
    <mergeCell ref="G34:H34"/>
    <mergeCell ref="C35:D35"/>
    <mergeCell ref="C30:D30"/>
    <mergeCell ref="C29:D29"/>
    <mergeCell ref="G16:H16"/>
    <mergeCell ref="E16:F16"/>
    <mergeCell ref="C16:D16"/>
    <mergeCell ref="G53:H53"/>
    <mergeCell ref="G17:H17"/>
    <mergeCell ref="G18:H18"/>
    <mergeCell ref="C51:D51"/>
    <mergeCell ref="E51:F51"/>
    <mergeCell ref="G51:H51"/>
    <mergeCell ref="C52:D52"/>
    <mergeCell ref="C55:D55"/>
    <mergeCell ref="E55:F55"/>
    <mergeCell ref="G55:H55"/>
    <mergeCell ref="C56:D56"/>
    <mergeCell ref="E56:F56"/>
    <mergeCell ref="G56:H56"/>
    <mergeCell ref="C37:D37"/>
    <mergeCell ref="E37:F37"/>
    <mergeCell ref="G37:H37"/>
    <mergeCell ref="C38:D38"/>
    <mergeCell ref="E38:F38"/>
    <mergeCell ref="G38:H38"/>
    <mergeCell ref="E35:F35"/>
    <mergeCell ref="G35:H35"/>
    <mergeCell ref="C36:D36"/>
    <mergeCell ref="E36:F36"/>
    <mergeCell ref="G36:H36"/>
    <mergeCell ref="C41:D41"/>
    <mergeCell ref="E41:F41"/>
    <mergeCell ref="G41:H41"/>
    <mergeCell ref="C42:D42"/>
    <mergeCell ref="E42:F42"/>
    <mergeCell ref="G42:H42"/>
    <mergeCell ref="C39:D39"/>
    <mergeCell ref="E39:F39"/>
    <mergeCell ref="G39:H39"/>
    <mergeCell ref="C40:D40"/>
    <mergeCell ref="E40:F40"/>
    <mergeCell ref="G40:H40"/>
    <mergeCell ref="B57:D57"/>
    <mergeCell ref="C45:D45"/>
    <mergeCell ref="E45:F45"/>
    <mergeCell ref="G45:H45"/>
    <mergeCell ref="C46:D46"/>
    <mergeCell ref="E46:F46"/>
    <mergeCell ref="G46:H46"/>
    <mergeCell ref="C43:D43"/>
    <mergeCell ref="E43:F43"/>
    <mergeCell ref="G43:H43"/>
    <mergeCell ref="C44:D44"/>
    <mergeCell ref="E44:F44"/>
    <mergeCell ref="G44:H44"/>
    <mergeCell ref="E57:F57"/>
    <mergeCell ref="G57:H5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"/>
  <sheetViews>
    <sheetView topLeftCell="A4" zoomScale="85" zoomScaleNormal="85" workbookViewId="0">
      <pane ySplit="3" topLeftCell="A7" activePane="bottomLeft" state="frozen"/>
      <selection activeCell="A4" sqref="A4"/>
      <selection pane="bottomLeft" activeCell="P19" sqref="P19:W19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3.75" style="5" bestFit="1" customWidth="1"/>
    <col min="6" max="6" width="4.5" style="5" customWidth="1"/>
    <col min="7" max="7" width="20.125" style="5" bestFit="1" customWidth="1"/>
    <col min="8" max="8" width="7.75" style="24" bestFit="1" customWidth="1"/>
    <col min="9" max="9" width="9.125" style="28" bestFit="1" customWidth="1"/>
    <col min="10" max="10" width="8.75" style="32" bestFit="1" customWidth="1"/>
    <col min="11" max="17" width="7.75" style="5" customWidth="1"/>
    <col min="18" max="19" width="11.125" style="5" customWidth="1"/>
    <col min="20" max="20" width="13.125" style="5" customWidth="1"/>
    <col min="21" max="21" width="6.25" style="5" customWidth="1"/>
    <col min="22" max="23" width="12" style="5" bestFit="1" customWidth="1"/>
    <col min="24" max="16384" width="9" style="5"/>
  </cols>
  <sheetData>
    <row r="1" spans="1:23" ht="17.25" x14ac:dyDescent="0.3">
      <c r="A1" s="4" t="s">
        <v>17</v>
      </c>
      <c r="K1" s="6"/>
      <c r="L1" s="6"/>
      <c r="M1" s="6"/>
      <c r="N1" s="6"/>
      <c r="O1" s="6"/>
      <c r="P1" s="6"/>
      <c r="Q1" s="6"/>
      <c r="R1" s="6"/>
      <c r="S1" s="6"/>
      <c r="T1" s="6"/>
    </row>
    <row r="2" spans="1:23" ht="17.25" x14ac:dyDescent="0.3">
      <c r="A2" s="7" t="s">
        <v>18</v>
      </c>
    </row>
    <row r="3" spans="1:23" ht="13.5" customHeight="1" x14ac:dyDescent="0.3">
      <c r="A3" s="7"/>
    </row>
    <row r="4" spans="1:23" ht="16.5" x14ac:dyDescent="0.3">
      <c r="A4" s="8"/>
      <c r="B4" s="8"/>
      <c r="C4" s="8"/>
      <c r="D4" s="8"/>
      <c r="E4" s="8"/>
      <c r="F4" s="8"/>
      <c r="G4" s="8"/>
      <c r="H4" s="25"/>
      <c r="I4" s="29"/>
      <c r="J4" s="33"/>
    </row>
    <row r="5" spans="1:23" ht="13.5" customHeight="1" thickBot="1" x14ac:dyDescent="0.25">
      <c r="A5" s="9"/>
      <c r="B5" s="10"/>
      <c r="C5" s="10"/>
      <c r="D5" s="10"/>
      <c r="E5" s="11"/>
      <c r="F5" s="11"/>
      <c r="G5" s="11"/>
      <c r="H5" s="26"/>
      <c r="I5" s="30"/>
      <c r="J5" s="34"/>
      <c r="K5" s="56">
        <v>70000</v>
      </c>
      <c r="L5" s="56">
        <v>50000</v>
      </c>
      <c r="M5" s="56">
        <v>40000</v>
      </c>
      <c r="N5" s="56">
        <v>35000</v>
      </c>
      <c r="O5" s="56">
        <v>20000</v>
      </c>
      <c r="P5" s="56">
        <v>15600</v>
      </c>
      <c r="Q5" s="56">
        <v>30000</v>
      </c>
      <c r="R5" s="56">
        <v>35000</v>
      </c>
      <c r="S5" s="56">
        <v>35000</v>
      </c>
      <c r="T5" s="56">
        <v>35000</v>
      </c>
    </row>
    <row r="6" spans="1:23" s="19" customFormat="1" ht="24.75" customHeight="1" x14ac:dyDescent="0.3">
      <c r="A6" s="49" t="s">
        <v>11</v>
      </c>
      <c r="B6" s="50" t="s">
        <v>21</v>
      </c>
      <c r="C6" s="51" t="s">
        <v>22</v>
      </c>
      <c r="D6" s="51" t="s">
        <v>19</v>
      </c>
      <c r="E6" s="52" t="s">
        <v>23</v>
      </c>
      <c r="F6" s="52" t="s">
        <v>12</v>
      </c>
      <c r="G6" s="50" t="s">
        <v>13</v>
      </c>
      <c r="H6" s="111" t="s">
        <v>20</v>
      </c>
      <c r="I6" s="112"/>
      <c r="J6" s="113"/>
      <c r="K6" s="53" t="s">
        <v>10</v>
      </c>
      <c r="L6" s="53" t="s">
        <v>33</v>
      </c>
      <c r="M6" s="53" t="s">
        <v>9</v>
      </c>
      <c r="N6" s="53" t="s">
        <v>8</v>
      </c>
      <c r="O6" s="53" t="s">
        <v>7</v>
      </c>
      <c r="P6" s="53" t="s">
        <v>6</v>
      </c>
      <c r="Q6" s="53" t="s">
        <v>5</v>
      </c>
      <c r="R6" s="53" t="s">
        <v>4</v>
      </c>
      <c r="S6" s="53" t="s">
        <v>41</v>
      </c>
      <c r="T6" s="54" t="s">
        <v>42</v>
      </c>
      <c r="U6" s="55" t="s">
        <v>3</v>
      </c>
      <c r="V6" s="69" t="s">
        <v>32</v>
      </c>
      <c r="W6" s="55" t="s">
        <v>14</v>
      </c>
    </row>
    <row r="7" spans="1:23" s="18" customFormat="1" ht="30" customHeight="1" x14ac:dyDescent="0.3">
      <c r="A7" s="20">
        <f t="shared" ref="A7:A13" si="0">ROW()-6</f>
        <v>1</v>
      </c>
      <c r="B7" s="75" t="s">
        <v>43</v>
      </c>
      <c r="C7" s="75" t="s">
        <v>44</v>
      </c>
      <c r="D7" s="74"/>
      <c r="E7" s="74" t="s">
        <v>46</v>
      </c>
      <c r="F7" s="21">
        <v>1</v>
      </c>
      <c r="G7" s="78" t="s">
        <v>45</v>
      </c>
      <c r="H7" s="45">
        <v>12</v>
      </c>
      <c r="I7" s="46">
        <v>65</v>
      </c>
      <c r="J7" s="47">
        <v>125</v>
      </c>
      <c r="K7" s="22">
        <v>0.5</v>
      </c>
      <c r="L7" s="22"/>
      <c r="M7" s="22"/>
      <c r="N7" s="22"/>
      <c r="O7" s="22">
        <v>0.5</v>
      </c>
      <c r="P7" s="22">
        <v>0.2</v>
      </c>
      <c r="Q7" s="22">
        <v>0.2</v>
      </c>
      <c r="R7" s="22"/>
      <c r="S7" s="22">
        <v>1</v>
      </c>
      <c r="T7" s="22">
        <v>0.2</v>
      </c>
      <c r="U7" s="72">
        <f>SUM($K7:$T7)</f>
        <v>2.6</v>
      </c>
      <c r="V7" s="70">
        <f>(K7*$K$5+L7*$L$5+M7*$M$5+N7*$N$5+O7*$O$5+P7*$P$5+Q7*$Q$5+T7*$T$5+R7*$R$5+$S$5*S7)*$F7</f>
        <v>96120</v>
      </c>
      <c r="W7" s="48">
        <f t="shared" ref="W7:W13" si="1">ROUNDDOWN($V7,-3)</f>
        <v>96000</v>
      </c>
    </row>
    <row r="8" spans="1:23" s="18" customFormat="1" ht="30" customHeight="1" x14ac:dyDescent="0.3">
      <c r="A8" s="20">
        <f t="shared" si="0"/>
        <v>2</v>
      </c>
      <c r="B8" s="75" t="s">
        <v>47</v>
      </c>
      <c r="C8" s="75" t="s">
        <v>48</v>
      </c>
      <c r="D8" s="74" t="s">
        <v>52</v>
      </c>
      <c r="E8" s="23"/>
      <c r="F8" s="21">
        <v>1</v>
      </c>
      <c r="G8" s="78" t="s">
        <v>49</v>
      </c>
      <c r="H8" s="45">
        <v>10</v>
      </c>
      <c r="I8" s="79">
        <v>80</v>
      </c>
      <c r="J8" s="47">
        <v>195</v>
      </c>
      <c r="K8" s="22">
        <v>0.5</v>
      </c>
      <c r="L8" s="22"/>
      <c r="M8" s="22"/>
      <c r="N8" s="22"/>
      <c r="O8" s="22">
        <v>0.5</v>
      </c>
      <c r="P8" s="22">
        <v>0.2</v>
      </c>
      <c r="Q8" s="22">
        <v>0.2</v>
      </c>
      <c r="R8" s="22"/>
      <c r="S8" s="22"/>
      <c r="T8" s="22">
        <v>0.5</v>
      </c>
      <c r="U8" s="72">
        <f t="shared" ref="U8:U13" si="2">SUM($K8:$T8)</f>
        <v>1.9</v>
      </c>
      <c r="V8" s="70">
        <f t="shared" ref="V8:V13" si="3">(K8*$K$5+L8*$L$5+M8*$M$5+N8*$N$5+O8*$O$5+P8*$P$5+Q8*$Q$5+T8*$T$5+R8*$R$5+$S$5*S8)*$F8</f>
        <v>71620</v>
      </c>
      <c r="W8" s="48">
        <f t="shared" si="1"/>
        <v>71000</v>
      </c>
    </row>
    <row r="9" spans="1:23" s="18" customFormat="1" ht="30" customHeight="1" x14ac:dyDescent="0.3">
      <c r="A9" s="20">
        <f t="shared" si="0"/>
        <v>3</v>
      </c>
      <c r="B9" s="75" t="s">
        <v>50</v>
      </c>
      <c r="C9" s="117" t="s">
        <v>51</v>
      </c>
      <c r="D9" s="74" t="s">
        <v>52</v>
      </c>
      <c r="E9" s="23"/>
      <c r="F9" s="21">
        <v>1</v>
      </c>
      <c r="G9" s="78" t="s">
        <v>49</v>
      </c>
      <c r="H9" s="45">
        <v>80</v>
      </c>
      <c r="I9" s="79">
        <v>145</v>
      </c>
      <c r="J9" s="47">
        <v>145</v>
      </c>
      <c r="K9" s="22">
        <v>2</v>
      </c>
      <c r="L9" s="22"/>
      <c r="M9" s="22">
        <v>0.5</v>
      </c>
      <c r="N9" s="22"/>
      <c r="O9" s="22">
        <v>0.5</v>
      </c>
      <c r="P9" s="22">
        <v>0.5</v>
      </c>
      <c r="Q9" s="22">
        <v>0.5</v>
      </c>
      <c r="R9" s="22"/>
      <c r="S9" s="22">
        <v>1</v>
      </c>
      <c r="T9" s="22">
        <v>0.5</v>
      </c>
      <c r="U9" s="72">
        <f t="shared" si="2"/>
        <v>5.5</v>
      </c>
      <c r="V9" s="70">
        <f t="shared" si="3"/>
        <v>245300</v>
      </c>
      <c r="W9" s="48">
        <f t="shared" si="1"/>
        <v>245000</v>
      </c>
    </row>
    <row r="10" spans="1:23" s="18" customFormat="1" ht="30" customHeight="1" x14ac:dyDescent="0.3">
      <c r="A10" s="20">
        <f t="shared" si="0"/>
        <v>4</v>
      </c>
      <c r="B10" s="75" t="s">
        <v>53</v>
      </c>
      <c r="C10" s="117" t="s">
        <v>54</v>
      </c>
      <c r="D10" s="74" t="s">
        <v>56</v>
      </c>
      <c r="E10" s="23" t="s">
        <v>55</v>
      </c>
      <c r="F10" s="21">
        <v>1</v>
      </c>
      <c r="G10" s="78" t="s">
        <v>57</v>
      </c>
      <c r="H10" s="45"/>
      <c r="I10" s="79"/>
      <c r="J10" s="4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72">
        <f t="shared" si="2"/>
        <v>0</v>
      </c>
      <c r="V10" s="70">
        <f t="shared" si="3"/>
        <v>0</v>
      </c>
      <c r="W10" s="48">
        <f t="shared" si="1"/>
        <v>0</v>
      </c>
    </row>
    <row r="11" spans="1:23" s="18" customFormat="1" ht="30" customHeight="1" x14ac:dyDescent="0.3">
      <c r="A11" s="20">
        <f t="shared" si="0"/>
        <v>5</v>
      </c>
      <c r="B11" s="75" t="s">
        <v>58</v>
      </c>
      <c r="C11" s="117" t="s">
        <v>59</v>
      </c>
      <c r="D11" s="74" t="s">
        <v>52</v>
      </c>
      <c r="E11" s="80" t="s">
        <v>60</v>
      </c>
      <c r="F11" s="21">
        <v>1</v>
      </c>
      <c r="G11" s="78" t="s">
        <v>49</v>
      </c>
      <c r="H11" s="45">
        <v>15</v>
      </c>
      <c r="I11" s="79">
        <v>45</v>
      </c>
      <c r="J11" s="47">
        <v>65</v>
      </c>
      <c r="K11" s="22">
        <v>1</v>
      </c>
      <c r="L11" s="22"/>
      <c r="M11" s="22">
        <v>1</v>
      </c>
      <c r="N11" s="22"/>
      <c r="O11" s="22">
        <v>0.5</v>
      </c>
      <c r="P11" s="22">
        <v>0.5</v>
      </c>
      <c r="Q11" s="22">
        <v>0.5</v>
      </c>
      <c r="R11" s="116">
        <v>2</v>
      </c>
      <c r="S11" s="22"/>
      <c r="T11" s="22">
        <v>0.5</v>
      </c>
      <c r="U11" s="72">
        <f t="shared" si="2"/>
        <v>6</v>
      </c>
      <c r="V11" s="70">
        <f t="shared" si="3"/>
        <v>230300</v>
      </c>
      <c r="W11" s="48">
        <f t="shared" si="1"/>
        <v>230000</v>
      </c>
    </row>
    <row r="12" spans="1:23" s="18" customFormat="1" ht="30" customHeight="1" x14ac:dyDescent="0.3">
      <c r="A12" s="20">
        <f t="shared" si="0"/>
        <v>6</v>
      </c>
      <c r="B12" s="75" t="s">
        <v>61</v>
      </c>
      <c r="C12" s="117" t="s">
        <v>62</v>
      </c>
      <c r="D12" s="74" t="s">
        <v>52</v>
      </c>
      <c r="E12" s="23" t="s">
        <v>55</v>
      </c>
      <c r="F12" s="21">
        <v>1</v>
      </c>
      <c r="G12" s="78"/>
      <c r="H12" s="45"/>
      <c r="I12" s="79"/>
      <c r="J12" s="47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72">
        <f t="shared" si="2"/>
        <v>0</v>
      </c>
      <c r="V12" s="70">
        <f t="shared" si="3"/>
        <v>0</v>
      </c>
      <c r="W12" s="48">
        <f t="shared" si="1"/>
        <v>0</v>
      </c>
    </row>
    <row r="13" spans="1:23" s="18" customFormat="1" ht="30" customHeight="1" x14ac:dyDescent="0.3">
      <c r="A13" s="20">
        <f t="shared" si="0"/>
        <v>7</v>
      </c>
      <c r="B13" s="75" t="s">
        <v>63</v>
      </c>
      <c r="C13" s="117" t="s">
        <v>64</v>
      </c>
      <c r="D13" s="74"/>
      <c r="E13" s="80"/>
      <c r="F13" s="21">
        <v>1</v>
      </c>
      <c r="G13" s="78" t="s">
        <v>65</v>
      </c>
      <c r="H13" s="45">
        <v>19</v>
      </c>
      <c r="I13" s="79">
        <v>50</v>
      </c>
      <c r="J13" s="47">
        <v>70</v>
      </c>
      <c r="K13" s="22">
        <v>0.5</v>
      </c>
      <c r="L13" s="22"/>
      <c r="M13" s="22">
        <v>0.5</v>
      </c>
      <c r="N13" s="22"/>
      <c r="O13" s="22">
        <v>0.2</v>
      </c>
      <c r="P13" s="22">
        <v>0.2</v>
      </c>
      <c r="Q13" s="22">
        <v>0.2</v>
      </c>
      <c r="R13" s="22"/>
      <c r="S13" s="22"/>
      <c r="T13" s="22">
        <v>0.2</v>
      </c>
      <c r="U13" s="72">
        <f t="shared" si="2"/>
        <v>1.7999999999999998</v>
      </c>
      <c r="V13" s="70">
        <f t="shared" si="3"/>
        <v>75120</v>
      </c>
      <c r="W13" s="48">
        <f t="shared" si="1"/>
        <v>75000</v>
      </c>
    </row>
    <row r="14" spans="1:23" s="18" customFormat="1" ht="30" customHeight="1" thickBot="1" x14ac:dyDescent="0.35">
      <c r="A14" s="38"/>
      <c r="B14" s="76"/>
      <c r="C14" s="77"/>
      <c r="D14" s="36"/>
      <c r="E14" s="39"/>
      <c r="F14" s="39"/>
      <c r="G14" s="40"/>
      <c r="H14" s="41"/>
      <c r="I14" s="42"/>
      <c r="J14" s="43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73"/>
      <c r="V14" s="71" t="s">
        <v>31</v>
      </c>
      <c r="W14" s="44">
        <f>SUM(W7:W13)</f>
        <v>717000</v>
      </c>
    </row>
    <row r="15" spans="1:23" ht="15.75" customHeight="1" x14ac:dyDescent="0.3">
      <c r="A15" s="12"/>
      <c r="B15" s="13"/>
      <c r="C15" s="13"/>
      <c r="D15" s="13"/>
      <c r="E15" s="13"/>
      <c r="F15" s="13"/>
      <c r="G15" s="13"/>
      <c r="H15" s="27"/>
      <c r="I15" s="31"/>
      <c r="J15" s="3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  <c r="W15" s="15"/>
    </row>
    <row r="17" spans="3:23" ht="26.25" x14ac:dyDescent="0.5">
      <c r="P17" s="109" t="s">
        <v>15</v>
      </c>
      <c r="Q17" s="109"/>
      <c r="R17" s="109"/>
      <c r="S17" s="109"/>
      <c r="T17" s="109"/>
      <c r="U17" s="109"/>
      <c r="V17" s="109"/>
      <c r="W17" s="109"/>
    </row>
    <row r="18" spans="3:23" ht="26.25" x14ac:dyDescent="0.5">
      <c r="C18" s="114" t="s">
        <v>66</v>
      </c>
      <c r="D18" s="115"/>
      <c r="E18" s="115"/>
      <c r="F18" s="115"/>
      <c r="G18" s="115"/>
      <c r="H18" s="115"/>
      <c r="I18" s="115"/>
      <c r="J18" s="115"/>
      <c r="K18" s="115"/>
      <c r="P18" s="110">
        <v>46209</v>
      </c>
      <c r="Q18" s="110"/>
      <c r="R18" s="110"/>
      <c r="S18" s="110"/>
      <c r="T18" s="110"/>
      <c r="U18" s="110"/>
      <c r="V18" s="110"/>
      <c r="W18" s="110"/>
    </row>
    <row r="19" spans="3:23" ht="26.25" x14ac:dyDescent="0.5">
      <c r="C19" s="115"/>
      <c r="D19" s="115"/>
      <c r="E19" s="115"/>
      <c r="F19" s="115"/>
      <c r="G19" s="115"/>
      <c r="H19" s="115"/>
      <c r="I19" s="115"/>
      <c r="J19" s="115"/>
      <c r="K19" s="115"/>
      <c r="P19" s="109" t="s">
        <v>16</v>
      </c>
      <c r="Q19" s="109"/>
      <c r="R19" s="109"/>
      <c r="S19" s="109"/>
      <c r="T19" s="109"/>
      <c r="U19" s="109"/>
      <c r="V19" s="109"/>
      <c r="W19" s="109"/>
    </row>
    <row r="27" spans="3:23" x14ac:dyDescent="0.3">
      <c r="R27" s="16"/>
      <c r="S27" s="16"/>
    </row>
    <row r="39" spans="16:23" ht="16.5" x14ac:dyDescent="0.3">
      <c r="P39" s="17"/>
      <c r="W39" s="17"/>
    </row>
  </sheetData>
  <autoFilter ref="A6:W6">
    <filterColumn colId="7" showButton="0"/>
    <filterColumn colId="8" showButton="0"/>
  </autoFilter>
  <mergeCells count="5">
    <mergeCell ref="P17:W17"/>
    <mergeCell ref="P18:W18"/>
    <mergeCell ref="P19:W19"/>
    <mergeCell ref="H6:J6"/>
    <mergeCell ref="C18:K19"/>
  </mergeCells>
  <phoneticPr fontId="1" type="noConversion"/>
  <conditionalFormatting sqref="B14 B7:B11">
    <cfRule type="duplicateValues" dxfId="3" priority="99"/>
  </conditionalFormatting>
  <conditionalFormatting sqref="B12:B13">
    <cfRule type="duplicateValues" dxfId="2" priority="102"/>
  </conditionalFormatting>
  <conditionalFormatting sqref="C12:C13">
    <cfRule type="duplicateValues" dxfId="1" priority="103"/>
  </conditionalFormatting>
  <conditionalFormatting sqref="C7:C11">
    <cfRule type="duplicateValues" dxfId="0" priority="105"/>
  </conditionalFormatting>
  <pageMargins left="0.19685039370078741" right="0.19685039370078741" top="0.59055118110236227" bottom="0.43307086614173229" header="0.51181102362204722" footer="0.35433070866141736"/>
  <pageSetup paperSize="9" scale="50" fitToHeight="0" orientation="landscape" r:id="rId1"/>
  <headerFooter alignWithMargins="0">
    <oddHeader xml:space="preserve">&amp;R&amp;N장 중 &amp;P페이지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견적서</vt:lpstr>
      <vt:lpstr>기계</vt:lpstr>
      <vt:lpstr>Sheet1</vt:lpstr>
      <vt:lpstr>기계!Print_Area</vt:lpstr>
      <vt:lpstr>기계!Print_Titles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2026-07-02T03:45:32Z</cp:lastPrinted>
  <dcterms:created xsi:type="dcterms:W3CDTF">2019-03-03T23:00:53Z</dcterms:created>
  <dcterms:modified xsi:type="dcterms:W3CDTF">2026-07-05T22:40:53Z</dcterms:modified>
</cp:coreProperties>
</file>