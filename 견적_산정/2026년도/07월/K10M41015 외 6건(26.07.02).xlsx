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생산부서 자료실\견적_산정\2026년도\07월\"/>
    </mc:Choice>
  </mc:AlternateContent>
  <bookViews>
    <workbookView xWindow="0" yWindow="0" windowWidth="28800" windowHeight="14235" activeTab="1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기계!$A$1:$V$18</definedName>
    <definedName name="_xlnm.Print_Titles" localSheetId="1">기계!$2:$6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9" l="1"/>
  <c r="E18" i="9"/>
  <c r="E19" i="9"/>
  <c r="E20" i="9"/>
  <c r="E16" i="9"/>
  <c r="E15" i="9"/>
  <c r="C18" i="9"/>
  <c r="C19" i="9"/>
  <c r="C20" i="9"/>
  <c r="C17" i="9"/>
  <c r="C16" i="9"/>
  <c r="C15" i="9"/>
  <c r="B20" i="9"/>
  <c r="B19" i="9"/>
  <c r="B18" i="9"/>
  <c r="B17" i="9"/>
  <c r="B16" i="9"/>
  <c r="B15" i="9"/>
  <c r="U12" i="10"/>
  <c r="V12" i="10" s="1"/>
  <c r="G20" i="9" s="1"/>
  <c r="T12" i="10"/>
  <c r="A12" i="10"/>
  <c r="A11" i="10" l="1"/>
  <c r="A10" i="10"/>
  <c r="A9" i="10"/>
  <c r="A8" i="10"/>
  <c r="A7" i="10"/>
  <c r="U11" i="10"/>
  <c r="V11" i="10" s="1"/>
  <c r="G19" i="9" s="1"/>
  <c r="T11" i="10"/>
  <c r="U10" i="10"/>
  <c r="V10" i="10" s="1"/>
  <c r="G18" i="9" s="1"/>
  <c r="T10" i="10"/>
  <c r="U9" i="10"/>
  <c r="V9" i="10" s="1"/>
  <c r="G17" i="9" s="1"/>
  <c r="T9" i="10"/>
  <c r="T8" i="10"/>
  <c r="T7" i="10"/>
  <c r="U8" i="10"/>
  <c r="V8" i="10" s="1"/>
  <c r="G16" i="9" s="1"/>
  <c r="U7" i="10"/>
  <c r="V7" i="10" s="1"/>
  <c r="G15" i="9" s="1"/>
  <c r="V13" i="10" l="1"/>
  <c r="G21" i="9" s="1"/>
</calcChain>
</file>

<file path=xl/sharedStrings.xml><?xml version="1.0" encoding="utf-8"?>
<sst xmlns="http://schemas.openxmlformats.org/spreadsheetml/2006/main" count="66" uniqueCount="61">
  <si>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</si>
  <si>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</si>
  <si>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</si>
  <si>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</si>
  <si>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</si>
  <si>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</si>
  <si>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</si>
  <si>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</si>
  <si>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</si>
  <si>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</si>
  <si>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</si>
  <si>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</si>
  <si>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</si>
  <si>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</si>
  <si>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</si>
  <si>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</si>
  <si>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</si>
  <si>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</si>
  <si>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</si>
  <si>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</si>
  <si>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</si>
  <si>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</si>
  <si>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</si>
  <si>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</si>
  <si>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</si>
  <si>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</si>
  <si>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</si>
  <si>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</si>
  <si>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</si>
  <si>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</si>
  <si>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</si>
  <si>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</si>
  <si>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</si>
  <si>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</si>
  <si>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</si>
  <si>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</si>
  <si>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</si>
  <si>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No</t>
    <phoneticPr fontId="1" type="noConversion"/>
  </si>
  <si>
    <t xml:space="preserve"> 품 번</t>
    <phoneticPr fontId="1" type="noConversion"/>
  </si>
  <si>
    <t>품 명</t>
    <phoneticPr fontId="1" type="noConversion"/>
  </si>
  <si>
    <t>견적 단가</t>
    <phoneticPr fontId="1" type="noConversion"/>
  </si>
  <si>
    <t xml:space="preserve"> 합 계 </t>
    <phoneticPr fontId="1" type="noConversion"/>
  </si>
  <si>
    <t>K10M41015</t>
    <phoneticPr fontId="1" type="noConversion"/>
  </si>
  <si>
    <t>바닥판 구조물</t>
    <phoneticPr fontId="1" type="noConversion"/>
  </si>
  <si>
    <t>AL6061P-T651</t>
    <phoneticPr fontId="1" type="noConversion"/>
  </si>
  <si>
    <t>*가공 불가</t>
    <phoneticPr fontId="1" type="noConversion"/>
  </si>
  <si>
    <t>K10M41084</t>
    <phoneticPr fontId="1" type="noConversion"/>
  </si>
  <si>
    <t xml:space="preserve">바닥판 구조물 </t>
    <phoneticPr fontId="1" type="noConversion"/>
  </si>
  <si>
    <t>K10M42243</t>
    <phoneticPr fontId="1" type="noConversion"/>
  </si>
  <si>
    <t>상부 지지대, 케이블용</t>
    <phoneticPr fontId="1" type="noConversion"/>
  </si>
  <si>
    <t>블록, 고정용</t>
    <phoneticPr fontId="1" type="noConversion"/>
  </si>
  <si>
    <t>K10M42545</t>
    <phoneticPr fontId="1" type="noConversion"/>
  </si>
  <si>
    <t>브래킷, 설치용</t>
    <phoneticPr fontId="1" type="noConversion"/>
  </si>
  <si>
    <t>K10M42487</t>
    <phoneticPr fontId="1" type="noConversion"/>
  </si>
  <si>
    <t>스페이셜 홀더 및 공구 다수 필요
*가공 불가</t>
    <phoneticPr fontId="1" type="noConversion"/>
  </si>
  <si>
    <t>K10M43009</t>
    <phoneticPr fontId="1" type="noConversion"/>
  </si>
  <si>
    <t>블록, 이송용</t>
    <phoneticPr fontId="1" type="noConversion"/>
  </si>
  <si>
    <t xml:space="preserve"> Ø9.0홀 방전 필요
상부에 막힘 and 과도한 깊이</t>
    <phoneticPr fontId="1" type="noConversion"/>
  </si>
  <si>
    <t>HRc 29-35</t>
    <phoneticPr fontId="1" type="noConversion"/>
  </si>
  <si>
    <t>KS D 3752 SM45C</t>
    <phoneticPr fontId="1" type="noConversion"/>
  </si>
  <si>
    <t>Coment : 1 2번 진공 테이블 이나 전용치구 필요T50이상, W L( 소재 크기 이상) 6번 검토 시 Ø9.0 홀 간섭 AND 과도한 깊이로 방전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</si>
</sst>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&quot;₩&quot;#,##0_);[Red]\(&quot;₩&quot;#,##0\)"/>
    <numFmt numFmtId="177" formatCode="_-* #,##0.0_-;\-* #,##0.0_-;_-* &quot;-&quot;_-;_-@_-"/>
    <numFmt numFmtId="178" formatCode="0.00;;"/>
    <numFmt numFmtId="179" formatCode="0.0"/>
    <numFmt numFmtId="180" formatCode="&quot;T&quot;\ #,##0.0"/>
    <numFmt numFmtId="181" formatCode="&quot;W &quot;0.0\ "/>
    <numFmt numFmtId="182" formatCode="&quot;L &quot;0.0"/>
  </numFmts>
  <fonts count="3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09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1" fillId="0" borderId="0" xfId="8" applyFont="1" applyAlignment="1">
      <alignment horizontal="right" vertical="center" wrapText="1"/>
    </xf>
    <xf numFmtId="0" fontId="22" fillId="0" borderId="0" xfId="8" applyFont="1" applyAlignment="1">
      <alignment horizontal="left" vertical="center" wrapText="1"/>
    </xf>
    <xf numFmtId="177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0" fillId="0" borderId="0" xfId="8" applyFont="1" applyAlignment="1">
      <alignment vertical="center" wrapText="1"/>
    </xf>
    <xf numFmtId="0" fontId="24" fillId="0" borderId="0" xfId="8" applyFont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11" applyFont="1" applyBorder="1" applyAlignment="1">
      <alignment horizontal="center" vertical="center"/>
    </xf>
    <xf numFmtId="177" fontId="24" fillId="0" borderId="7" xfId="1" applyNumberFormat="1" applyFont="1" applyFill="1" applyBorder="1" applyAlignment="1">
      <alignment horizontal="center" vertical="center"/>
    </xf>
    <xf numFmtId="180" fontId="12" fillId="0" borderId="0" xfId="8" applyNumberFormat="1" applyFont="1">
      <alignment vertical="center"/>
    </xf>
    <xf numFmtId="180" fontId="14" fillId="0" borderId="0" xfId="8" applyNumberFormat="1" applyFont="1">
      <alignment vertical="center"/>
    </xf>
    <xf numFmtId="180" fontId="16" fillId="0" borderId="0" xfId="0" applyNumberFormat="1" applyFont="1">
      <alignment vertical="center"/>
    </xf>
    <xf numFmtId="180" fontId="22" fillId="0" borderId="0" xfId="8" applyNumberFormat="1" applyFont="1" applyAlignment="1">
      <alignment horizontal="left" vertical="center" wrapText="1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2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2" fillId="0" borderId="0" xfId="8" applyNumberFormat="1" applyFont="1" applyAlignment="1">
      <alignment horizontal="left" vertical="center" wrapText="1"/>
    </xf>
    <xf numFmtId="0" fontId="19" fillId="0" borderId="4" xfId="11" applyFont="1" applyBorder="1" applyAlignment="1">
      <alignment horizontal="center" vertical="center" wrapText="1" shrinkToFit="1"/>
    </xf>
    <xf numFmtId="177" fontId="24" fillId="0" borderId="4" xfId="1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11" applyFont="1" applyBorder="1" applyAlignment="1">
      <alignment horizontal="center" vertical="center"/>
    </xf>
    <xf numFmtId="0" fontId="12" fillId="0" borderId="4" xfId="8" applyFont="1" applyBorder="1">
      <alignment vertical="center"/>
    </xf>
    <xf numFmtId="180" fontId="16" fillId="0" borderId="4" xfId="11" applyNumberFormat="1" applyFont="1" applyBorder="1" applyAlignment="1">
      <alignment horizontal="center" vertical="center"/>
    </xf>
    <xf numFmtId="181" fontId="16" fillId="0" borderId="4" xfId="11" applyNumberFormat="1" applyFont="1" applyBorder="1" applyAlignment="1">
      <alignment horizontal="center" vertical="center"/>
    </xf>
    <xf numFmtId="182" fontId="16" fillId="0" borderId="4" xfId="11" applyNumberFormat="1" applyFont="1" applyBorder="1" applyAlignment="1">
      <alignment horizontal="center" vertical="center" shrinkToFit="1"/>
    </xf>
    <xf numFmtId="41" fontId="25" fillId="2" borderId="5" xfId="1" applyFont="1" applyFill="1" applyBorder="1" applyAlignment="1">
      <alignment horizontal="center" vertical="center"/>
    </xf>
    <xf numFmtId="180" fontId="14" fillId="0" borderId="7" xfId="8" applyNumberFormat="1" applyFont="1" applyBorder="1" applyAlignment="1">
      <alignment horizontal="center" vertical="center"/>
    </xf>
    <xf numFmtId="181" fontId="14" fillId="0" borderId="7" xfId="8" applyNumberFormat="1" applyFont="1" applyBorder="1" applyAlignment="1">
      <alignment horizontal="center" vertical="center"/>
    </xf>
    <xf numFmtId="182" fontId="6" fillId="0" borderId="7" xfId="0" applyNumberFormat="1" applyFont="1" applyBorder="1" applyAlignment="1">
      <alignment horizontal="center" vertical="center"/>
    </xf>
    <xf numFmtId="41" fontId="25" fillId="0" borderId="8" xfId="1" applyFont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7" fillId="3" borderId="11" xfId="11" applyFont="1" applyFill="1" applyBorder="1" applyAlignment="1">
      <alignment horizontal="center" vertical="center" shrinkToFit="1"/>
    </xf>
    <xf numFmtId="0" fontId="18" fillId="3" borderId="11" xfId="11" applyFont="1" applyFill="1" applyBorder="1" applyAlignment="1">
      <alignment horizontal="center" vertical="center" shrinkToFit="1"/>
    </xf>
    <xf numFmtId="0" fontId="18" fillId="3" borderId="11" xfId="11" applyFont="1" applyFill="1" applyBorder="1" applyAlignment="1">
      <alignment horizontal="center" vertical="center" wrapText="1"/>
    </xf>
    <xf numFmtId="178" fontId="18" fillId="3" borderId="11" xfId="12" applyNumberFormat="1" applyFont="1" applyFill="1" applyBorder="1" applyAlignment="1">
      <alignment horizontal="center" vertical="center"/>
    </xf>
    <xf numFmtId="0" fontId="25" fillId="3" borderId="11" xfId="8" applyFont="1" applyFill="1" applyBorder="1" applyAlignment="1">
      <alignment horizontal="center" vertical="center"/>
    </xf>
    <xf numFmtId="0" fontId="25" fillId="3" borderId="15" xfId="8" applyFont="1" applyFill="1" applyBorder="1" applyAlignment="1">
      <alignment horizontal="center" vertical="center"/>
    </xf>
    <xf numFmtId="41" fontId="27" fillId="2" borderId="9" xfId="1" applyFont="1" applyFill="1" applyBorder="1" applyAlignment="1"/>
    <xf numFmtId="0" fontId="28" fillId="0" borderId="0" xfId="8" applyFont="1" applyAlignment="1">
      <alignment horizontal="centerContinuous" vertical="center"/>
    </xf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>
      <alignment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 applyAlignment="1">
      <alignment horizontal="left" vertical="center"/>
    </xf>
    <xf numFmtId="0" fontId="36" fillId="0" borderId="0" xfId="8" applyFont="1">
      <alignment vertical="center"/>
    </xf>
    <xf numFmtId="0" fontId="35" fillId="0" borderId="0" xfId="8" applyFont="1">
      <alignment vertical="center"/>
    </xf>
    <xf numFmtId="0" fontId="37" fillId="0" borderId="0" xfId="8" applyFont="1">
      <alignment vertical="center"/>
    </xf>
    <xf numFmtId="0" fontId="37" fillId="0" borderId="0" xfId="9" applyFont="1">
      <alignment vertical="center"/>
    </xf>
    <xf numFmtId="0" fontId="25" fillId="3" borderId="14" xfId="8" applyFont="1" applyFill="1" applyBorder="1" applyAlignment="1">
      <alignment horizontal="center" vertical="center"/>
    </xf>
    <xf numFmtId="177" fontId="24" fillId="0" borderId="16" xfId="1" applyNumberFormat="1" applyFont="1" applyFill="1" applyBorder="1" applyAlignment="1">
      <alignment horizontal="center" vertical="center"/>
    </xf>
    <xf numFmtId="177" fontId="24" fillId="0" borderId="17" xfId="1" applyNumberFormat="1" applyFont="1" applyFill="1" applyBorder="1" applyAlignment="1">
      <alignment horizontal="center" vertical="center"/>
    </xf>
    <xf numFmtId="177" fontId="24" fillId="4" borderId="8" xfId="1" applyNumberFormat="1" applyFont="1" applyFill="1" applyBorder="1" applyAlignment="1">
      <alignment horizontal="center" vertical="center"/>
    </xf>
    <xf numFmtId="177" fontId="24" fillId="0" borderId="5" xfId="1" applyNumberFormat="1" applyFont="1" applyFill="1" applyBorder="1" applyAlignment="1">
      <alignment horizontal="center" vertical="center"/>
    </xf>
    <xf numFmtId="0" fontId="19" fillId="0" borderId="7" xfId="11" applyFont="1" applyBorder="1" applyAlignment="1">
      <alignment horizontal="center" vertical="center" wrapText="1" shrinkToFit="1"/>
    </xf>
    <xf numFmtId="179" fontId="19" fillId="0" borderId="7" xfId="11" applyNumberFormat="1" applyFont="1" applyBorder="1" applyAlignment="1">
      <alignment horizontal="left" vertical="center" indent="1" shrinkToFit="1"/>
    </xf>
    <xf numFmtId="179" fontId="19" fillId="0" borderId="4" xfId="11" applyNumberFormat="1" applyFont="1" applyBorder="1" applyAlignment="1">
      <alignment horizontal="left" vertical="center" indent="1" shrinkToFit="1"/>
    </xf>
    <xf numFmtId="0" fontId="19" fillId="0" borderId="4" xfId="11" applyFont="1" applyBorder="1" applyAlignment="1">
      <alignment horizontal="left" vertical="center" indent="1" shrinkToFit="1"/>
    </xf>
    <xf numFmtId="0" fontId="12" fillId="0" borderId="7" xfId="8" applyFont="1" applyBorder="1" applyAlignment="1">
      <alignment horizontal="left" vertical="center" indent="1"/>
    </xf>
    <xf numFmtId="181" fontId="14" fillId="0" borderId="7" xfId="8" applyNumberFormat="1" applyFont="1" applyFill="1" applyBorder="1" applyAlignment="1">
      <alignment horizontal="center" vertical="center"/>
    </xf>
    <xf numFmtId="0" fontId="10" fillId="0" borderId="22" xfId="8" applyFont="1" applyBorder="1">
      <alignment vertical="center"/>
    </xf>
    <xf numFmtId="0" fontId="10" fillId="0" borderId="19" xfId="8" applyFont="1" applyBorder="1" applyAlignment="1">
      <alignment horizontal="center" vertical="center"/>
    </xf>
    <xf numFmtId="0" fontId="10" fillId="0" borderId="29" xfId="8" applyFont="1" applyBorder="1" applyAlignment="1">
      <alignment horizontal="left" vertical="center" indent="1"/>
    </xf>
    <xf numFmtId="0" fontId="10" fillId="0" borderId="30" xfId="8" applyFont="1" applyBorder="1" applyAlignment="1">
      <alignment horizontal="left" vertical="center" indent="1"/>
    </xf>
    <xf numFmtId="0" fontId="10" fillId="0" borderId="31" xfId="8" applyFont="1" applyBorder="1" applyAlignment="1">
      <alignment horizontal="left" vertical="center" indent="1"/>
    </xf>
    <xf numFmtId="0" fontId="10" fillId="0" borderId="25" xfId="8" applyFont="1" applyBorder="1" applyAlignment="1">
      <alignment horizontal="left" vertical="center" indent="1"/>
    </xf>
    <xf numFmtId="0" fontId="10" fillId="0" borderId="26" xfId="8" applyFont="1" applyBorder="1" applyAlignment="1">
      <alignment horizontal="left" vertical="center" indent="1"/>
    </xf>
    <xf numFmtId="0" fontId="10" fillId="0" borderId="18" xfId="8" applyFont="1" applyBorder="1" applyAlignment="1">
      <alignment horizontal="left" vertical="center" indent="1"/>
    </xf>
    <xf numFmtId="176" fontId="10" fillId="0" borderId="20" xfId="8" applyNumberFormat="1" applyFont="1" applyBorder="1" applyAlignment="1">
      <alignment horizontal="right" vertical="center" indent="1"/>
    </xf>
    <xf numFmtId="176" fontId="10" fillId="0" borderId="21" xfId="8" applyNumberFormat="1" applyFont="1" applyBorder="1" applyAlignment="1">
      <alignment horizontal="right" vertical="center" indent="1"/>
    </xf>
    <xf numFmtId="0" fontId="10" fillId="0" borderId="32" xfId="8" applyFont="1" applyBorder="1" applyAlignment="1">
      <alignment horizontal="left" vertical="center" indent="1"/>
    </xf>
    <xf numFmtId="176" fontId="10" fillId="0" borderId="32" xfId="8" applyNumberFormat="1" applyFont="1" applyBorder="1" applyAlignment="1">
      <alignment horizontal="right" vertical="center" indent="1"/>
    </xf>
    <xf numFmtId="176" fontId="10" fillId="0" borderId="33" xfId="8" applyNumberFormat="1" applyFont="1" applyBorder="1" applyAlignment="1">
      <alignment horizontal="right" vertical="center" indent="1"/>
    </xf>
    <xf numFmtId="0" fontId="10" fillId="0" borderId="20" xfId="8" applyFont="1" applyBorder="1" applyAlignment="1">
      <alignment horizontal="left" vertical="center" indent="1"/>
    </xf>
    <xf numFmtId="0" fontId="10" fillId="0" borderId="27" xfId="8" applyFont="1" applyBorder="1" applyAlignment="1">
      <alignment horizontal="left" vertical="center" indent="1"/>
    </xf>
    <xf numFmtId="0" fontId="10" fillId="0" borderId="28" xfId="8" applyFont="1" applyBorder="1" applyAlignment="1">
      <alignment horizontal="left" vertical="center" indent="1"/>
    </xf>
    <xf numFmtId="0" fontId="10" fillId="0" borderId="23" xfId="8" applyFont="1" applyBorder="1" applyAlignment="1">
      <alignment horizontal="center" vertical="center"/>
    </xf>
    <xf numFmtId="0" fontId="10" fillId="0" borderId="24" xfId="8" applyFont="1" applyBorder="1" applyAlignment="1">
      <alignment horizontal="center" vertical="center"/>
    </xf>
    <xf numFmtId="0" fontId="37" fillId="0" borderId="0" xfId="8" applyFont="1">
      <alignment vertical="center"/>
    </xf>
    <xf numFmtId="0" fontId="37" fillId="0" borderId="0" xfId="8" applyFont="1" applyAlignment="1">
      <alignment horizontal="left" vertical="center"/>
    </xf>
    <xf numFmtId="0" fontId="24" fillId="0" borderId="2" xfId="8" applyFont="1" applyBorder="1" applyAlignment="1">
      <alignment horizontal="center" vertical="center"/>
    </xf>
    <xf numFmtId="0" fontId="24" fillId="0" borderId="1" xfId="8" applyFont="1" applyBorder="1" applyAlignment="1">
      <alignment horizontal="center" vertical="center"/>
    </xf>
    <xf numFmtId="0" fontId="23" fillId="0" borderId="0" xfId="8" applyFont="1" applyAlignment="1">
      <alignment horizontal="left"/>
    </xf>
    <xf numFmtId="14" fontId="23" fillId="0" borderId="0" xfId="8" applyNumberFormat="1" applyFont="1" applyAlignment="1">
      <alignment horizontal="left"/>
    </xf>
    <xf numFmtId="0" fontId="17" fillId="3" borderId="12" xfId="11" applyFont="1" applyFill="1" applyBorder="1" applyAlignment="1">
      <alignment horizontal="center" vertical="center" shrinkToFit="1"/>
    </xf>
    <xf numFmtId="0" fontId="17" fillId="3" borderId="13" xfId="11" applyFont="1" applyFill="1" applyBorder="1" applyAlignment="1">
      <alignment horizontal="center" vertical="center" shrinkToFit="1"/>
    </xf>
    <xf numFmtId="0" fontId="17" fillId="3" borderId="14" xfId="11" applyFont="1" applyFill="1" applyBorder="1" applyAlignment="1">
      <alignment horizontal="center" vertical="center" shrinkToFit="1"/>
    </xf>
    <xf numFmtId="0" fontId="38" fillId="0" borderId="0" xfId="8" applyFont="1" applyAlignment="1">
      <alignment horizontal="left" vertical="center" wrapText="1" indent="1"/>
    </xf>
    <xf numFmtId="0" fontId="38" fillId="0" borderId="0" xfId="8" applyFont="1" applyAlignment="1">
      <alignment horizontal="left" vertical="center" indent="1"/>
    </xf>
    <xf numFmtId="179" fontId="19" fillId="0" borderId="7" xfId="11" applyNumberFormat="1" applyFont="1" applyFill="1" applyBorder="1" applyAlignment="1">
      <alignment horizontal="left" vertical="center" indent="1" shrinkToFit="1"/>
    </xf>
  </cellXfs>
  <cellStyles count="13">
    <cellStyle name="쉼표 [0] 2" xfId="1"/>
    <cellStyle name="표준" xfId="0" builtinId="0"/>
    <cellStyle name="표준 10" xfId="2"/>
    <cellStyle name="표준 2" xfId="3"/>
    <cellStyle name="표준 2 2" xfId="4"/>
    <cellStyle name="표준 2 3" xfId="5"/>
    <cellStyle name="표준 2 4" xfId="6"/>
    <cellStyle name="표준 3" xfId="7"/>
    <cellStyle name="표준 3 10" xfId="8"/>
    <cellStyle name="표준 3 10 2" xfId="9"/>
    <cellStyle name="표준 4" xfId="10"/>
    <cellStyle name="표준 5" xfId="11"/>
    <cellStyle name="표준 7" xfId="1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48531"/>
  <sheetViews>
    <sheetView topLeftCell="B8" workbookViewId="0">
      <selection activeCell="G21" sqref="G21:H21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56" t="s">
        <v>2</v>
      </c>
      <c r="C1" s="57"/>
      <c r="D1" s="57"/>
      <c r="E1" s="57"/>
      <c r="F1" s="57"/>
      <c r="G1" s="57"/>
      <c r="H1" s="57"/>
    </row>
    <row r="2" spans="2:8" ht="27" x14ac:dyDescent="0.3">
      <c r="B2" s="58"/>
      <c r="C2" s="59"/>
      <c r="D2" s="59"/>
      <c r="E2" s="59"/>
      <c r="F2" s="59"/>
      <c r="G2" s="59"/>
      <c r="H2" s="59"/>
    </row>
    <row r="3" spans="2:8" x14ac:dyDescent="0.3">
      <c r="B3" s="60"/>
      <c r="C3" s="60"/>
      <c r="D3" s="60"/>
      <c r="E3" s="60"/>
      <c r="F3" s="61"/>
      <c r="G3" s="62"/>
      <c r="H3" s="62"/>
    </row>
    <row r="4" spans="2:8" ht="39.950000000000003" customHeight="1" x14ac:dyDescent="0.3">
      <c r="B4" s="63" t="s">
        <v>29</v>
      </c>
      <c r="C4" s="64"/>
      <c r="D4" s="64"/>
      <c r="E4" s="64"/>
      <c r="F4" s="65"/>
      <c r="G4" s="65"/>
      <c r="H4" s="65"/>
    </row>
    <row r="5" spans="2:8" ht="21" customHeight="1" x14ac:dyDescent="0.3">
      <c r="B5" s="97" t="s">
        <v>31</v>
      </c>
      <c r="C5" s="97"/>
      <c r="D5" s="97"/>
      <c r="E5" s="97"/>
      <c r="F5" s="66" t="s">
        <v>30</v>
      </c>
      <c r="G5" s="66"/>
      <c r="H5" s="66"/>
    </row>
    <row r="6" spans="2:8" ht="24.75" customHeight="1" x14ac:dyDescent="0.3">
      <c r="B6" s="97" t="s">
        <v>1</v>
      </c>
      <c r="C6" s="97"/>
      <c r="D6" s="97"/>
      <c r="E6" s="97"/>
      <c r="F6" s="66" t="s">
        <v>26</v>
      </c>
      <c r="G6" s="66"/>
      <c r="H6" s="66"/>
    </row>
    <row r="7" spans="2:8" ht="24.75" customHeight="1" x14ac:dyDescent="0.3">
      <c r="B7" s="97" t="s">
        <v>36</v>
      </c>
      <c r="C7" s="97"/>
      <c r="D7" s="97"/>
      <c r="E7" s="97"/>
      <c r="F7" s="98" t="s">
        <v>27</v>
      </c>
      <c r="G7" s="98"/>
      <c r="H7" s="98"/>
    </row>
    <row r="8" spans="2:8" ht="24.75" customHeight="1" x14ac:dyDescent="0.3">
      <c r="B8" s="67" t="s">
        <v>25</v>
      </c>
      <c r="C8" s="66"/>
      <c r="D8" s="66"/>
      <c r="E8" s="66"/>
      <c r="F8" s="66" t="s">
        <v>28</v>
      </c>
      <c r="G8" s="66"/>
      <c r="H8" s="66"/>
    </row>
    <row r="9" spans="2:8" ht="24.75" customHeight="1" x14ac:dyDescent="0.3">
      <c r="B9" s="66" t="s">
        <v>0</v>
      </c>
      <c r="C9" s="66"/>
      <c r="D9" s="66"/>
      <c r="E9" s="66"/>
      <c r="F9" s="66" t="s">
        <v>35</v>
      </c>
      <c r="G9" s="66"/>
      <c r="H9" s="66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6.25" customHeight="1" thickBot="1" x14ac:dyDescent="0.35">
      <c r="B13" s="3"/>
      <c r="C13" s="3"/>
      <c r="D13" s="3"/>
      <c r="E13" s="3"/>
      <c r="F13" s="2"/>
      <c r="G13" s="3"/>
      <c r="H13" s="3"/>
    </row>
    <row r="14" spans="2:8" ht="24.75" customHeight="1" thickBot="1" x14ac:dyDescent="0.35">
      <c r="B14" s="79" t="s">
        <v>37</v>
      </c>
      <c r="C14" s="95" t="s">
        <v>38</v>
      </c>
      <c r="D14" s="95"/>
      <c r="E14" s="95" t="s">
        <v>39</v>
      </c>
      <c r="F14" s="95"/>
      <c r="G14" s="95" t="s">
        <v>40</v>
      </c>
      <c r="H14" s="96"/>
    </row>
    <row r="15" spans="2:8" ht="24.75" customHeight="1" thickTop="1" x14ac:dyDescent="0.3">
      <c r="B15" s="80">
        <f>ROW()-14</f>
        <v>1</v>
      </c>
      <c r="C15" s="93" t="str">
        <f>기계!$B7</f>
        <v>K10M41015</v>
      </c>
      <c r="D15" s="94"/>
      <c r="E15" s="92" t="str">
        <f>기계!$C7</f>
        <v>바닥판 구조물</v>
      </c>
      <c r="F15" s="92"/>
      <c r="G15" s="87">
        <f>기계!$V7</f>
        <v>3382000</v>
      </c>
      <c r="H15" s="88"/>
    </row>
    <row r="16" spans="2:8" ht="24.75" customHeight="1" x14ac:dyDescent="0.3">
      <c r="B16" s="80">
        <f t="shared" ref="B16:B20" si="0">ROW()-14</f>
        <v>2</v>
      </c>
      <c r="C16" s="84" t="str">
        <f>기계!$B8</f>
        <v>K10M41084</v>
      </c>
      <c r="D16" s="85"/>
      <c r="E16" s="86" t="str">
        <f>기계!$C8</f>
        <v xml:space="preserve">바닥판 구조물 </v>
      </c>
      <c r="F16" s="86"/>
      <c r="G16" s="87">
        <f>기계!$V8</f>
        <v>3382000</v>
      </c>
      <c r="H16" s="88"/>
    </row>
    <row r="17" spans="2:8" ht="24.75" customHeight="1" x14ac:dyDescent="0.3">
      <c r="B17" s="80">
        <f t="shared" si="0"/>
        <v>3</v>
      </c>
      <c r="C17" s="84" t="str">
        <f>기계!$B9</f>
        <v>K10M42243</v>
      </c>
      <c r="D17" s="85"/>
      <c r="E17" s="86" t="str">
        <f>기계!$C9</f>
        <v>상부 지지대, 케이블용</v>
      </c>
      <c r="F17" s="86"/>
      <c r="G17" s="87">
        <f>기계!$V9</f>
        <v>308000</v>
      </c>
      <c r="H17" s="88"/>
    </row>
    <row r="18" spans="2:8" ht="24.75" customHeight="1" x14ac:dyDescent="0.3">
      <c r="B18" s="80">
        <f t="shared" si="0"/>
        <v>4</v>
      </c>
      <c r="C18" s="84" t="str">
        <f>기계!$B10</f>
        <v>K10M42487</v>
      </c>
      <c r="D18" s="85"/>
      <c r="E18" s="86" t="str">
        <f>기계!$C10</f>
        <v>블록, 고정용</v>
      </c>
      <c r="F18" s="86"/>
      <c r="G18" s="87">
        <f>기계!$V10</f>
        <v>36000</v>
      </c>
      <c r="H18" s="88"/>
    </row>
    <row r="19" spans="2:8" ht="24.75" customHeight="1" x14ac:dyDescent="0.3">
      <c r="B19" s="80">
        <f t="shared" si="0"/>
        <v>5</v>
      </c>
      <c r="C19" s="84" t="str">
        <f>기계!$B11</f>
        <v>K10M42545</v>
      </c>
      <c r="D19" s="85"/>
      <c r="E19" s="86" t="str">
        <f>기계!$C11</f>
        <v>브래킷, 설치용</v>
      </c>
      <c r="F19" s="86"/>
      <c r="G19" s="87">
        <f>기계!$V11</f>
        <v>1537000</v>
      </c>
      <c r="H19" s="88"/>
    </row>
    <row r="20" spans="2:8" ht="24.75" customHeight="1" x14ac:dyDescent="0.3">
      <c r="B20" s="80">
        <f t="shared" si="0"/>
        <v>6</v>
      </c>
      <c r="C20" s="84" t="str">
        <f>기계!$B12</f>
        <v>K10M43009</v>
      </c>
      <c r="D20" s="85"/>
      <c r="E20" s="86" t="str">
        <f>기계!$C12</f>
        <v>블록, 이송용</v>
      </c>
      <c r="F20" s="86"/>
      <c r="G20" s="87">
        <f>기계!$V12</f>
        <v>3081000</v>
      </c>
      <c r="H20" s="88"/>
    </row>
    <row r="21" spans="2:8" ht="24.75" customHeight="1" thickBot="1" x14ac:dyDescent="0.35">
      <c r="B21" s="81" t="s">
        <v>41</v>
      </c>
      <c r="C21" s="82"/>
      <c r="D21" s="83"/>
      <c r="E21" s="89"/>
      <c r="F21" s="89"/>
      <c r="G21" s="90">
        <f>기계!$V13</f>
        <v>11726000</v>
      </c>
      <c r="H21" s="91"/>
    </row>
    <row r="22" spans="2:8" ht="24.75" customHeight="1" x14ac:dyDescent="0.3"/>
    <row r="23" spans="2:8" ht="24.75" customHeight="1" x14ac:dyDescent="0.3"/>
    <row r="24" spans="2:8" ht="24.75" customHeight="1" x14ac:dyDescent="0.3"/>
    <row r="25" spans="2:8" ht="24.75" customHeight="1" x14ac:dyDescent="0.3"/>
    <row r="26" spans="2:8" ht="24.75" customHeight="1" x14ac:dyDescent="0.3"/>
    <row r="27" spans="2:8" ht="24.75" customHeight="1" x14ac:dyDescent="0.3"/>
    <row r="28" spans="2:8" ht="24.75" customHeight="1" x14ac:dyDescent="0.3"/>
    <row r="29" spans="2:8" ht="24.75" customHeight="1" x14ac:dyDescent="0.3"/>
    <row r="30" spans="2:8" ht="24.75" customHeight="1" x14ac:dyDescent="0.3"/>
    <row r="31" spans="2:8" ht="24.75" customHeight="1" x14ac:dyDescent="0.3"/>
    <row r="32" spans="2:8" ht="24.75" customHeight="1" x14ac:dyDescent="0.3"/>
    <row r="33" ht="24.75" customHeight="1" x14ac:dyDescent="0.3"/>
    <row r="34" ht="24.75" customHeight="1" x14ac:dyDescent="0.3"/>
    <row r="35" ht="24.75" customHeight="1" x14ac:dyDescent="0.3"/>
    <row r="36" ht="24.75" customHeight="1" x14ac:dyDescent="0.3"/>
    <row r="37" ht="24.75" customHeight="1" x14ac:dyDescent="0.3"/>
    <row r="38" ht="24.75" customHeight="1" x14ac:dyDescent="0.3"/>
    <row r="39" ht="24.75" customHeight="1" x14ac:dyDescent="0.3"/>
    <row r="40" ht="24.75" customHeight="1" x14ac:dyDescent="0.3"/>
    <row r="41" ht="24.75" customHeight="1" x14ac:dyDescent="0.3"/>
    <row r="42" ht="24.75" customHeight="1" x14ac:dyDescent="0.3"/>
    <row r="43" ht="24.75" customHeight="1" x14ac:dyDescent="0.3"/>
    <row r="44" ht="24.75" customHeight="1" x14ac:dyDescent="0.3"/>
    <row r="45" ht="24.75" customHeight="1" x14ac:dyDescent="0.3"/>
    <row r="46" ht="24.75" customHeight="1" x14ac:dyDescent="0.3"/>
    <row r="47" ht="24.75" customHeight="1" x14ac:dyDescent="0.3"/>
    <row r="1048531" spans="3:4" ht="13.5" customHeight="1" x14ac:dyDescent="0.3">
      <c r="C1048531" s="99"/>
      <c r="D1048531" s="100"/>
    </row>
  </sheetData>
  <mergeCells count="29">
    <mergeCell ref="C1048531:D1048531"/>
    <mergeCell ref="C17:D17"/>
    <mergeCell ref="E17:F17"/>
    <mergeCell ref="C18:D18"/>
    <mergeCell ref="C20:D20"/>
    <mergeCell ref="E20:F20"/>
    <mergeCell ref="C19:D19"/>
    <mergeCell ref="E19:F19"/>
    <mergeCell ref="E18:F18"/>
    <mergeCell ref="B5:E5"/>
    <mergeCell ref="B6:E6"/>
    <mergeCell ref="B7:E7"/>
    <mergeCell ref="F7:H7"/>
    <mergeCell ref="G19:H19"/>
    <mergeCell ref="G20:H20"/>
    <mergeCell ref="G15:H15"/>
    <mergeCell ref="E15:F15"/>
    <mergeCell ref="C15:D15"/>
    <mergeCell ref="C14:D14"/>
    <mergeCell ref="E14:F14"/>
    <mergeCell ref="G14:H14"/>
    <mergeCell ref="G16:H16"/>
    <mergeCell ref="E16:F16"/>
    <mergeCell ref="C16:D16"/>
    <mergeCell ref="G17:H17"/>
    <mergeCell ref="G18:H18"/>
    <mergeCell ref="B21:D21"/>
    <mergeCell ref="E21:F21"/>
    <mergeCell ref="G21:H21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8"/>
  <sheetViews>
    <sheetView tabSelected="1" topLeftCell="A4" zoomScale="85" zoomScaleNormal="85" workbookViewId="0">
      <pane ySplit="3" topLeftCell="A7" activePane="bottomLeft" state="frozen"/>
      <selection activeCell="A4" sqref="A4"/>
      <selection pane="bottomLeft" activeCell="M25" sqref="M25"/>
    </sheetView>
  </sheetViews>
  <sheetFormatPr defaultRowHeight="12" x14ac:dyDescent="0.3"/>
  <cols>
    <col min="1" max="1" width="6.25" style="5" customWidth="1"/>
    <col min="2" max="2" width="14.375" style="5" bestFit="1" customWidth="1"/>
    <col min="3" max="3" width="32" style="5" customWidth="1"/>
    <col min="4" max="4" width="25.375" style="5" bestFit="1" customWidth="1"/>
    <col min="5" max="5" width="27.625" style="5" bestFit="1" customWidth="1"/>
    <col min="6" max="6" width="4.5" style="5" customWidth="1"/>
    <col min="7" max="7" width="20.125" style="5" bestFit="1" customWidth="1"/>
    <col min="8" max="8" width="7.75" style="23" bestFit="1" customWidth="1"/>
    <col min="9" max="9" width="9.125" style="27" bestFit="1" customWidth="1"/>
    <col min="10" max="10" width="8.75" style="31" bestFit="1" customWidth="1"/>
    <col min="11" max="17" width="7.75" style="5" customWidth="1"/>
    <col min="18" max="18" width="11.125" style="5" customWidth="1"/>
    <col min="19" max="19" width="13.125" style="5" customWidth="1"/>
    <col min="20" max="20" width="6.25" style="5" customWidth="1"/>
    <col min="21" max="22" width="12" style="5" bestFit="1" customWidth="1"/>
    <col min="23" max="16384" width="9" style="5"/>
  </cols>
  <sheetData>
    <row r="1" spans="1:22" ht="17.25" x14ac:dyDescent="0.3">
      <c r="A1" s="4" t="s">
        <v>18</v>
      </c>
      <c r="K1" s="6"/>
      <c r="L1" s="6"/>
      <c r="M1" s="6"/>
      <c r="N1" s="6"/>
      <c r="O1" s="6"/>
      <c r="P1" s="6"/>
      <c r="Q1" s="6"/>
      <c r="R1" s="6"/>
      <c r="S1" s="6"/>
    </row>
    <row r="2" spans="1:22" ht="17.25" x14ac:dyDescent="0.3">
      <c r="A2" s="7" t="s">
        <v>19</v>
      </c>
    </row>
    <row r="3" spans="1:22" ht="13.5" customHeight="1" x14ac:dyDescent="0.3">
      <c r="A3" s="7"/>
    </row>
    <row r="4" spans="1:22" ht="16.5" x14ac:dyDescent="0.3">
      <c r="A4" s="8"/>
      <c r="B4" s="8"/>
      <c r="C4" s="8"/>
      <c r="D4" s="8"/>
      <c r="E4" s="8"/>
      <c r="F4" s="8"/>
      <c r="G4" s="8"/>
      <c r="H4" s="24"/>
      <c r="I4" s="28"/>
      <c r="J4" s="32"/>
    </row>
    <row r="5" spans="1:22" ht="13.5" customHeight="1" thickBot="1" x14ac:dyDescent="0.25">
      <c r="A5" s="9"/>
      <c r="B5" s="10"/>
      <c r="C5" s="10"/>
      <c r="D5" s="10"/>
      <c r="E5" s="11"/>
      <c r="F5" s="11"/>
      <c r="G5" s="11"/>
      <c r="H5" s="25"/>
      <c r="I5" s="29"/>
      <c r="J5" s="33"/>
      <c r="K5" s="55">
        <v>70000</v>
      </c>
      <c r="L5" s="55">
        <v>50000</v>
      </c>
      <c r="M5" s="55">
        <v>40000</v>
      </c>
      <c r="N5" s="55">
        <v>35000</v>
      </c>
      <c r="O5" s="55">
        <v>20000</v>
      </c>
      <c r="P5" s="55">
        <v>15600</v>
      </c>
      <c r="Q5" s="55">
        <v>30000</v>
      </c>
      <c r="R5" s="55">
        <v>35000</v>
      </c>
      <c r="S5" s="55">
        <v>35000</v>
      </c>
    </row>
    <row r="6" spans="1:22" s="19" customFormat="1" ht="24.75" customHeight="1" x14ac:dyDescent="0.3">
      <c r="A6" s="48" t="s">
        <v>12</v>
      </c>
      <c r="B6" s="49" t="s">
        <v>22</v>
      </c>
      <c r="C6" s="50" t="s">
        <v>23</v>
      </c>
      <c r="D6" s="50" t="s">
        <v>20</v>
      </c>
      <c r="E6" s="51" t="s">
        <v>24</v>
      </c>
      <c r="F6" s="51" t="s">
        <v>13</v>
      </c>
      <c r="G6" s="49" t="s">
        <v>14</v>
      </c>
      <c r="H6" s="103" t="s">
        <v>21</v>
      </c>
      <c r="I6" s="104"/>
      <c r="J6" s="105"/>
      <c r="K6" s="52" t="s">
        <v>11</v>
      </c>
      <c r="L6" s="52" t="s">
        <v>34</v>
      </c>
      <c r="M6" s="52" t="s">
        <v>10</v>
      </c>
      <c r="N6" s="52" t="s">
        <v>9</v>
      </c>
      <c r="O6" s="52" t="s">
        <v>8</v>
      </c>
      <c r="P6" s="52" t="s">
        <v>7</v>
      </c>
      <c r="Q6" s="52" t="s">
        <v>6</v>
      </c>
      <c r="R6" s="52" t="s">
        <v>5</v>
      </c>
      <c r="S6" s="53" t="s">
        <v>4</v>
      </c>
      <c r="T6" s="54" t="s">
        <v>3</v>
      </c>
      <c r="U6" s="68" t="s">
        <v>33</v>
      </c>
      <c r="V6" s="54" t="s">
        <v>15</v>
      </c>
    </row>
    <row r="7" spans="1:22" s="18" customFormat="1" ht="30" customHeight="1" x14ac:dyDescent="0.3">
      <c r="A7" s="20">
        <f t="shared" ref="A7:A12" si="0">ROW()-6</f>
        <v>1</v>
      </c>
      <c r="B7" s="74" t="s">
        <v>42</v>
      </c>
      <c r="C7" s="74" t="s">
        <v>43</v>
      </c>
      <c r="D7" s="73"/>
      <c r="E7" s="73" t="s">
        <v>45</v>
      </c>
      <c r="F7" s="21">
        <v>1</v>
      </c>
      <c r="G7" s="73" t="s">
        <v>44</v>
      </c>
      <c r="H7" s="44">
        <v>15</v>
      </c>
      <c r="I7" s="45">
        <v>750</v>
      </c>
      <c r="J7" s="46">
        <v>1850</v>
      </c>
      <c r="K7" s="22">
        <v>40</v>
      </c>
      <c r="L7" s="22"/>
      <c r="M7" s="22"/>
      <c r="N7" s="22"/>
      <c r="O7" s="22">
        <v>1</v>
      </c>
      <c r="P7" s="22">
        <v>4</v>
      </c>
      <c r="Q7" s="22">
        <v>5</v>
      </c>
      <c r="R7" s="22"/>
      <c r="S7" s="22">
        <v>10</v>
      </c>
      <c r="T7" s="71">
        <f t="shared" ref="T7:T12" si="1">SUM($K7:$S7)</f>
        <v>60</v>
      </c>
      <c r="U7" s="69">
        <f t="shared" ref="U7:U12" si="2">(K7*$K$5+L7*$L$5+M7*$M$5+N7*$N$5+O7*$O$5+P7*$P$5+Q7*$Q$5+S7*$S$5+R7*$R$5)*$F7</f>
        <v>3382400</v>
      </c>
      <c r="V7" s="47">
        <f t="shared" ref="V7:V12" si="3">ROUNDDOWN($U7,-3)</f>
        <v>3382000</v>
      </c>
    </row>
    <row r="8" spans="1:22" s="18" customFormat="1" ht="30" customHeight="1" x14ac:dyDescent="0.3">
      <c r="A8" s="20">
        <f t="shared" si="0"/>
        <v>2</v>
      </c>
      <c r="B8" s="74" t="s">
        <v>46</v>
      </c>
      <c r="C8" s="74" t="s">
        <v>47</v>
      </c>
      <c r="D8" s="73"/>
      <c r="E8" s="73" t="s">
        <v>45</v>
      </c>
      <c r="F8" s="21">
        <v>1</v>
      </c>
      <c r="G8" s="73" t="s">
        <v>44</v>
      </c>
      <c r="H8" s="44">
        <v>15</v>
      </c>
      <c r="I8" s="45">
        <v>750</v>
      </c>
      <c r="J8" s="46">
        <v>1850</v>
      </c>
      <c r="K8" s="22">
        <v>40</v>
      </c>
      <c r="L8" s="22"/>
      <c r="M8" s="22"/>
      <c r="N8" s="22"/>
      <c r="O8" s="22">
        <v>1</v>
      </c>
      <c r="P8" s="22">
        <v>4</v>
      </c>
      <c r="Q8" s="22">
        <v>5</v>
      </c>
      <c r="R8" s="22"/>
      <c r="S8" s="22">
        <v>10</v>
      </c>
      <c r="T8" s="71">
        <f t="shared" si="1"/>
        <v>60</v>
      </c>
      <c r="U8" s="69">
        <f t="shared" si="2"/>
        <v>3382400</v>
      </c>
      <c r="V8" s="47">
        <f t="shared" si="3"/>
        <v>3382000</v>
      </c>
    </row>
    <row r="9" spans="1:22" s="18" customFormat="1" ht="30" customHeight="1" x14ac:dyDescent="0.3">
      <c r="A9" s="20">
        <f t="shared" si="0"/>
        <v>3</v>
      </c>
      <c r="B9" s="74" t="s">
        <v>48</v>
      </c>
      <c r="C9" s="108" t="s">
        <v>49</v>
      </c>
      <c r="D9" s="73"/>
      <c r="E9" s="73"/>
      <c r="F9" s="21">
        <v>1</v>
      </c>
      <c r="G9" s="73" t="s">
        <v>44</v>
      </c>
      <c r="H9" s="44">
        <v>95</v>
      </c>
      <c r="I9" s="78">
        <v>170</v>
      </c>
      <c r="J9" s="46">
        <v>520</v>
      </c>
      <c r="K9" s="22">
        <v>4</v>
      </c>
      <c r="L9" s="22"/>
      <c r="M9" s="22">
        <v>0.2</v>
      </c>
      <c r="N9" s="22"/>
      <c r="O9" s="22">
        <v>0.2</v>
      </c>
      <c r="P9" s="22">
        <v>0.2</v>
      </c>
      <c r="Q9" s="22">
        <v>0.2</v>
      </c>
      <c r="R9" s="22"/>
      <c r="S9" s="22">
        <v>0.2</v>
      </c>
      <c r="T9" s="71">
        <f t="shared" si="1"/>
        <v>5.0000000000000009</v>
      </c>
      <c r="U9" s="69">
        <f t="shared" si="2"/>
        <v>308120</v>
      </c>
      <c r="V9" s="47">
        <f t="shared" si="3"/>
        <v>308000</v>
      </c>
    </row>
    <row r="10" spans="1:22" s="18" customFormat="1" ht="30" customHeight="1" x14ac:dyDescent="0.3">
      <c r="A10" s="20">
        <f t="shared" si="0"/>
        <v>4</v>
      </c>
      <c r="B10" s="74" t="s">
        <v>53</v>
      </c>
      <c r="C10" s="108" t="s">
        <v>50</v>
      </c>
      <c r="D10" s="73"/>
      <c r="E10" s="73"/>
      <c r="F10" s="21">
        <v>1</v>
      </c>
      <c r="G10" s="73" t="s">
        <v>44</v>
      </c>
      <c r="H10" s="44">
        <v>150</v>
      </c>
      <c r="I10" s="78">
        <v>150</v>
      </c>
      <c r="J10" s="46">
        <v>210</v>
      </c>
      <c r="K10" s="22"/>
      <c r="L10" s="22"/>
      <c r="M10" s="22">
        <v>0.5</v>
      </c>
      <c r="N10" s="22"/>
      <c r="O10" s="22"/>
      <c r="P10" s="22">
        <v>0.2</v>
      </c>
      <c r="Q10" s="22">
        <v>0.2</v>
      </c>
      <c r="R10" s="22"/>
      <c r="S10" s="22">
        <v>0.2</v>
      </c>
      <c r="T10" s="71">
        <f t="shared" si="1"/>
        <v>1.0999999999999999</v>
      </c>
      <c r="U10" s="69">
        <f t="shared" si="2"/>
        <v>36120</v>
      </c>
      <c r="V10" s="47">
        <f t="shared" si="3"/>
        <v>36000</v>
      </c>
    </row>
    <row r="11" spans="1:22" s="18" customFormat="1" ht="30" customHeight="1" x14ac:dyDescent="0.3">
      <c r="A11" s="20">
        <f t="shared" si="0"/>
        <v>5</v>
      </c>
      <c r="B11" s="74" t="s">
        <v>51</v>
      </c>
      <c r="C11" s="108" t="s">
        <v>52</v>
      </c>
      <c r="D11" s="73"/>
      <c r="E11" s="73" t="s">
        <v>54</v>
      </c>
      <c r="F11" s="21">
        <v>1</v>
      </c>
      <c r="G11" s="73" t="s">
        <v>44</v>
      </c>
      <c r="H11" s="44">
        <v>75</v>
      </c>
      <c r="I11" s="78"/>
      <c r="J11" s="46">
        <v>65</v>
      </c>
      <c r="K11" s="22">
        <v>15</v>
      </c>
      <c r="L11" s="22"/>
      <c r="M11" s="22">
        <v>1</v>
      </c>
      <c r="N11" s="22"/>
      <c r="O11" s="22">
        <v>0.2</v>
      </c>
      <c r="P11" s="22">
        <v>0.2</v>
      </c>
      <c r="Q11" s="22">
        <v>3</v>
      </c>
      <c r="R11" s="22"/>
      <c r="S11" s="22">
        <v>10</v>
      </c>
      <c r="T11" s="71">
        <f t="shared" si="1"/>
        <v>29.4</v>
      </c>
      <c r="U11" s="69">
        <f t="shared" si="2"/>
        <v>1537120</v>
      </c>
      <c r="V11" s="47">
        <f t="shared" si="3"/>
        <v>1537000</v>
      </c>
    </row>
    <row r="12" spans="1:22" s="18" customFormat="1" ht="30" customHeight="1" x14ac:dyDescent="0.3">
      <c r="A12" s="20">
        <f t="shared" si="0"/>
        <v>6</v>
      </c>
      <c r="B12" s="74" t="s">
        <v>55</v>
      </c>
      <c r="C12" s="108" t="s">
        <v>56</v>
      </c>
      <c r="D12" s="73" t="s">
        <v>58</v>
      </c>
      <c r="E12" s="73" t="s">
        <v>57</v>
      </c>
      <c r="F12" s="21">
        <v>1</v>
      </c>
      <c r="G12" s="77" t="s">
        <v>59</v>
      </c>
      <c r="H12" s="44">
        <v>150</v>
      </c>
      <c r="I12" s="78">
        <v>250</v>
      </c>
      <c r="J12" s="46">
        <v>520</v>
      </c>
      <c r="K12" s="22">
        <v>12</v>
      </c>
      <c r="L12" s="22"/>
      <c r="M12" s="22">
        <v>35</v>
      </c>
      <c r="N12" s="22"/>
      <c r="O12" s="22">
        <v>1</v>
      </c>
      <c r="P12" s="22">
        <v>2</v>
      </c>
      <c r="Q12" s="22">
        <v>3</v>
      </c>
      <c r="R12" s="22">
        <v>10</v>
      </c>
      <c r="S12" s="22">
        <v>10</v>
      </c>
      <c r="T12" s="71">
        <f t="shared" si="1"/>
        <v>73</v>
      </c>
      <c r="U12" s="69">
        <f t="shared" si="2"/>
        <v>3081200</v>
      </c>
      <c r="V12" s="47">
        <f t="shared" si="3"/>
        <v>3081000</v>
      </c>
    </row>
    <row r="13" spans="1:22" s="18" customFormat="1" ht="30" customHeight="1" thickBot="1" x14ac:dyDescent="0.35">
      <c r="A13" s="37"/>
      <c r="B13" s="75"/>
      <c r="C13" s="76"/>
      <c r="D13" s="35"/>
      <c r="E13" s="38"/>
      <c r="F13" s="38"/>
      <c r="G13" s="39"/>
      <c r="H13" s="40"/>
      <c r="I13" s="41"/>
      <c r="J13" s="42"/>
      <c r="K13" s="36"/>
      <c r="L13" s="36"/>
      <c r="M13" s="36"/>
      <c r="N13" s="36"/>
      <c r="O13" s="36"/>
      <c r="P13" s="36"/>
      <c r="Q13" s="36"/>
      <c r="R13" s="36"/>
      <c r="S13" s="36"/>
      <c r="T13" s="72"/>
      <c r="U13" s="70" t="s">
        <v>32</v>
      </c>
      <c r="V13" s="43">
        <f>SUM(V7:V12)</f>
        <v>11726000</v>
      </c>
    </row>
    <row r="14" spans="1:22" ht="15.75" customHeight="1" x14ac:dyDescent="0.3">
      <c r="A14" s="12"/>
      <c r="B14" s="13"/>
      <c r="C14" s="13"/>
      <c r="D14" s="13"/>
      <c r="E14" s="13"/>
      <c r="F14" s="13"/>
      <c r="G14" s="13"/>
      <c r="H14" s="26"/>
      <c r="I14" s="30"/>
      <c r="J14" s="3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5"/>
    </row>
    <row r="16" spans="1:22" ht="26.25" x14ac:dyDescent="0.5">
      <c r="P16" s="101" t="s">
        <v>16</v>
      </c>
      <c r="Q16" s="101"/>
      <c r="R16" s="101"/>
      <c r="S16" s="101"/>
      <c r="T16" s="101"/>
      <c r="U16" s="101"/>
      <c r="V16" s="101"/>
    </row>
    <row r="17" spans="3:22" ht="26.25" x14ac:dyDescent="0.5">
      <c r="C17" s="106" t="s">
        <v>60</v>
      </c>
      <c r="D17" s="107"/>
      <c r="E17" s="107"/>
      <c r="F17" s="107"/>
      <c r="G17" s="107"/>
      <c r="H17" s="107"/>
      <c r="I17" s="107"/>
      <c r="J17" s="107"/>
      <c r="K17" s="107"/>
      <c r="P17" s="102">
        <v>46204</v>
      </c>
      <c r="Q17" s="102"/>
      <c r="R17" s="102"/>
      <c r="S17" s="102"/>
      <c r="T17" s="102"/>
      <c r="U17" s="102"/>
      <c r="V17" s="102"/>
    </row>
    <row r="18" spans="3:22" ht="26.25" x14ac:dyDescent="0.5">
      <c r="C18" s="107"/>
      <c r="D18" s="107"/>
      <c r="E18" s="107"/>
      <c r="F18" s="107"/>
      <c r="G18" s="107"/>
      <c r="H18" s="107"/>
      <c r="I18" s="107"/>
      <c r="J18" s="107"/>
      <c r="K18" s="107"/>
      <c r="P18" s="101" t="s">
        <v>17</v>
      </c>
      <c r="Q18" s="101"/>
      <c r="R18" s="101"/>
      <c r="S18" s="101"/>
      <c r="T18" s="101"/>
      <c r="U18" s="101"/>
      <c r="V18" s="101"/>
    </row>
    <row r="19" spans="3:22" x14ac:dyDescent="0.3">
      <c r="S19" s="16"/>
    </row>
    <row r="26" spans="3:22" x14ac:dyDescent="0.3">
      <c r="R26" s="16"/>
    </row>
    <row r="38" spans="16:22" ht="16.5" x14ac:dyDescent="0.3">
      <c r="P38" s="17"/>
      <c r="V38" s="17"/>
    </row>
  </sheetData>
  <autoFilter ref="A6:V6">
    <filterColumn colId="7" showButton="0"/>
    <filterColumn colId="8" showButton="0"/>
  </autoFilter>
  <mergeCells count="5">
    <mergeCell ref="P16:V16"/>
    <mergeCell ref="P17:V17"/>
    <mergeCell ref="P18:V18"/>
    <mergeCell ref="H6:J6"/>
    <mergeCell ref="C17:K18"/>
  </mergeCells>
  <phoneticPr fontId="1" type="noConversion"/>
  <conditionalFormatting sqref="B13 B7:B11">
    <cfRule type="duplicateValues" dxfId="3" priority="99"/>
  </conditionalFormatting>
  <conditionalFormatting sqref="C7:C11">
    <cfRule type="duplicateValues" dxfId="2" priority="105"/>
  </conditionalFormatting>
  <conditionalFormatting sqref="B12">
    <cfRule type="duplicateValues" dxfId="1" priority="107"/>
  </conditionalFormatting>
  <conditionalFormatting sqref="C12">
    <cfRule type="duplicateValues" dxfId="0" priority="108"/>
  </conditionalFormatting>
  <pageMargins left="0.19685039370078741" right="0.19685039370078741" top="0.59055118110236227" bottom="0.43307086614173229" header="0.51181102362204722" footer="0.35433070866141736"/>
  <pageSetup paperSize="9" scale="50" fitToHeight="0" orientation="landscape" r:id="rId1"/>
  <headerFooter alignWithMargins="0">
    <oddHeader xml:space="preserve">&amp;R&amp;N장 중 &amp;P페이지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견적서</vt:lpstr>
      <vt:lpstr>기계</vt:lpstr>
      <vt:lpstr>Sheet1</vt:lpstr>
      <vt:lpstr>기계!Print_Area</vt:lpstr>
      <vt:lpstr>기계!Print_Titles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T1</cp:lastModifiedBy>
  <cp:lastPrinted>2026-07-02T03:45:32Z</cp:lastPrinted>
  <dcterms:created xsi:type="dcterms:W3CDTF">2019-03-03T23:00:53Z</dcterms:created>
  <dcterms:modified xsi:type="dcterms:W3CDTF">2026-07-02T04:26:07Z</dcterms:modified>
</cp:coreProperties>
</file>