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4235" tabRatio="600" firstSheet="0" activeTab="1" autoFilterDateGrouping="1"/>
  </bookViews>
  <sheets>
    <sheet name="견적서" sheetId="1" state="visible" r:id="rId1"/>
    <sheet name="기계" sheetId="2" state="visible" r:id="rId2"/>
    <sheet name="Sheet1" sheetId="3" state="visible" r:id="rId3"/>
  </sheets>
  <externalReferences>
    <externalReference r:id="rId4"/>
  </externalReferences>
  <definedNames>
    <definedName name="_Order1" hidden="1">255</definedName>
    <definedName name="a">[1]ISA3월!$D$16135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  <definedName name="_xlnm._FilterDatabase" localSheetId="1" hidden="1">'기계'!$A$6:$W$6</definedName>
    <definedName name="_xlnm.Print_Titles" localSheetId="1">'기계'!$2:$6</definedName>
    <definedName name="_xlnm.Print_Area" localSheetId="1">'기계'!$A$1:$W$22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_-* #,##0_-;\-* #,##0_-;_-* &quot;-&quot;_-;_-@_-"/>
    <numFmt numFmtId="165" formatCode="_-* #,##0.0_-;\-* #,##0.0_-;_-* &quot;-&quot;_-;_-@_-"/>
    <numFmt numFmtId="166" formatCode="&quot;T&quot;\ #,##0.0"/>
    <numFmt numFmtId="167" formatCode="&quot;W &quot;0.0\ "/>
    <numFmt numFmtId="168" formatCode="&quot;L &quot;0.0"/>
    <numFmt numFmtId="169" formatCode="0.00;;"/>
    <numFmt numFmtId="170" formatCode="0.0"/>
    <numFmt numFmtId="171" formatCode="&quot;₩&quot;#,##0_);[Red]\(&quot;₩&quot;#,##0\)"/>
    <numFmt numFmtId="172" formatCode="&quot;제출일자&quot;\ \:\ @\ "/>
  </numFmts>
  <fonts count="39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8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Times New Roman"/>
      <family val="1"/>
      <color rgb="FF000000"/>
      <sz val="10"/>
    </font>
    <font>
      <name val="맑은 고딕"/>
      <charset val="129"/>
      <family val="3"/>
      <color theme="1"/>
      <sz val="8"/>
    </font>
    <font>
      <name val="돋움"/>
      <charset val="129"/>
      <family val="3"/>
      <color theme="1"/>
      <sz val="11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sz val="12"/>
      <u val="single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rgb="FFFFFFFF"/>
      <sz val="10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rgb="FF000000"/>
      <sz val="11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color rgb="FF000000"/>
      <sz val="10"/>
      <u val="single"/>
      <scheme val="major"/>
    </font>
    <font>
      <name val="맑은 고딕"/>
      <charset val="129"/>
      <family val="3"/>
      <sz val="16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0" tint="-0.1499984740745262"/>
      <sz val="9"/>
      <scheme val="major"/>
    </font>
    <font>
      <name val="HY궁서B"/>
      <charset val="129"/>
      <family val="1"/>
      <color theme="1"/>
      <sz val="28"/>
      <u val="double"/>
    </font>
    <font>
      <name val="HY궁서B"/>
      <charset val="129"/>
      <family val="1"/>
      <color theme="1"/>
      <sz val="28"/>
    </font>
    <font>
      <name val="HY궁서B"/>
      <charset val="129"/>
      <family val="1"/>
      <color theme="1"/>
      <sz val="18"/>
    </font>
    <font>
      <name val="HY궁서B"/>
      <charset val="129"/>
      <family val="1"/>
      <color theme="1"/>
      <sz val="22"/>
    </font>
    <font>
      <name val="HY궁서B"/>
      <charset val="129"/>
      <family val="1"/>
      <sz val="11"/>
    </font>
    <font>
      <name val="HY궁서B"/>
      <charset val="129"/>
      <family val="1"/>
      <color theme="1"/>
      <sz val="11"/>
    </font>
    <font>
      <name val="HY궁서B"/>
      <charset val="129"/>
      <family val="1"/>
      <b val="1"/>
      <color theme="1"/>
      <sz val="11"/>
    </font>
    <font>
      <name val="HY궁서B"/>
      <charset val="129"/>
      <family val="1"/>
      <color theme="1"/>
      <sz val="16"/>
    </font>
    <font>
      <name val="HY궁서B"/>
      <charset val="129"/>
      <family val="1"/>
      <b val="1"/>
      <color theme="1"/>
      <sz val="16"/>
    </font>
    <font>
      <name val="HY궁서B"/>
      <charset val="129"/>
      <family val="1"/>
      <color theme="1"/>
      <sz val="12"/>
    </font>
    <font>
      <name val="맑은 고딕"/>
      <charset val="129"/>
      <family val="3"/>
      <sz val="12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3">
    <xf numFmtId="0" fontId="6" fillId="0" borderId="0" applyAlignment="1">
      <alignment vertical="center"/>
    </xf>
    <xf numFmtId="41" fontId="2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7" fillId="0" borderId="0"/>
    <xf numFmtId="0" fontId="6" fillId="0" borderId="0"/>
    <xf numFmtId="0" fontId="8" fillId="0" borderId="0" applyAlignment="1">
      <alignment vertical="center"/>
    </xf>
  </cellStyleXfs>
  <cellXfs count="17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10" fillId="0" borderId="0" applyAlignment="1" pivotButton="0" quotePrefix="0" xfId="8">
      <alignment vertical="center"/>
    </xf>
    <xf numFmtId="0" fontId="11" fillId="0" borderId="0" applyAlignment="1" pivotButton="0" quotePrefix="0" xfId="8">
      <alignment horizontal="left"/>
    </xf>
    <xf numFmtId="0" fontId="12" fillId="0" borderId="0" applyAlignment="1" pivotButton="0" quotePrefix="0" xfId="8">
      <alignment vertical="center"/>
    </xf>
    <xf numFmtId="164" fontId="12" fillId="0" borderId="0" pivotButton="0" quotePrefix="0" xfId="1"/>
    <xf numFmtId="0" fontId="13" fillId="0" borderId="0" applyAlignment="1" pivotButton="0" quotePrefix="0" xfId="8">
      <alignment horizontal="left"/>
    </xf>
    <xf numFmtId="0" fontId="14" fillId="0" borderId="0" applyAlignment="1" pivotButton="0" quotePrefix="0" xfId="8">
      <alignment vertical="center"/>
    </xf>
    <xf numFmtId="0" fontId="15" fillId="0" borderId="0" applyAlignment="1" pivotButton="0" quotePrefix="0" xfId="8">
      <alignment vertical="center" wrapText="1" readingOrder="1"/>
    </xf>
    <xf numFmtId="0" fontId="16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21" fillId="0" borderId="0" applyAlignment="1" pivotButton="0" quotePrefix="0" xfId="8">
      <alignment horizontal="right" vertical="center" wrapText="1"/>
    </xf>
    <xf numFmtId="0" fontId="22" fillId="0" borderId="0" applyAlignment="1" pivotButton="0" quotePrefix="0" xfId="8">
      <alignment horizontal="left" vertical="center" wrapText="1"/>
    </xf>
    <xf numFmtId="165" fontId="12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4" fontId="12" fillId="0" borderId="0" applyAlignment="1" pivotButton="0" quotePrefix="0" xfId="8">
      <alignment vertical="center"/>
    </xf>
    <xf numFmtId="0" fontId="20" fillId="0" borderId="0" applyAlignment="1" pivotButton="0" quotePrefix="0" xfId="8">
      <alignment vertical="center" wrapText="1"/>
    </xf>
    <xf numFmtId="0" fontId="24" fillId="0" borderId="0" applyAlignment="1" pivotButton="0" quotePrefix="0" xfId="8">
      <alignment horizontal="center" vertical="center"/>
    </xf>
    <xf numFmtId="0" fontId="25" fillId="0" borderId="0" applyAlignment="1" pivotButton="0" quotePrefix="0" xfId="8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7" applyAlignment="1" pivotButton="0" quotePrefix="0" xfId="11">
      <alignment horizontal="center" vertical="center"/>
    </xf>
    <xf numFmtId="165" fontId="24" fillId="0" borderId="7" applyAlignment="1" pivotButton="0" quotePrefix="0" xfId="1">
      <alignment horizontal="center" vertical="center"/>
    </xf>
    <xf numFmtId="0" fontId="19" fillId="0" borderId="9" applyAlignment="1" pivotButton="0" quotePrefix="0" xfId="11">
      <alignment horizontal="center" vertical="center"/>
    </xf>
    <xf numFmtId="166" fontId="12" fillId="0" borderId="0" applyAlignment="1" pivotButton="0" quotePrefix="0" xfId="8">
      <alignment vertical="center"/>
    </xf>
    <xf numFmtId="166" fontId="14" fillId="0" borderId="0" applyAlignment="1" pivotButton="0" quotePrefix="0" xfId="8">
      <alignment vertical="center"/>
    </xf>
    <xf numFmtId="166" fontId="16" fillId="0" borderId="0" applyAlignment="1" pivotButton="0" quotePrefix="0" xfId="0">
      <alignment vertical="center"/>
    </xf>
    <xf numFmtId="166" fontId="22" fillId="0" borderId="0" applyAlignment="1" pivotButton="0" quotePrefix="0" xfId="8">
      <alignment horizontal="left" vertical="center" wrapText="1"/>
    </xf>
    <xf numFmtId="167" fontId="12" fillId="0" borderId="0" applyAlignment="1" pivotButton="0" quotePrefix="0" xfId="8">
      <alignment vertical="center"/>
    </xf>
    <xf numFmtId="167" fontId="14" fillId="0" borderId="0" applyAlignment="1" pivotButton="0" quotePrefix="0" xfId="8">
      <alignment vertical="center"/>
    </xf>
    <xf numFmtId="167" fontId="16" fillId="0" borderId="0" applyAlignment="1" pivotButton="0" quotePrefix="0" xfId="0">
      <alignment vertical="center"/>
    </xf>
    <xf numFmtId="167" fontId="22" fillId="0" borderId="0" applyAlignment="1" pivotButton="0" quotePrefix="0" xfId="8">
      <alignment horizontal="left" vertical="center" wrapText="1"/>
    </xf>
    <xf numFmtId="168" fontId="12" fillId="0" borderId="0" applyAlignment="1" pivotButton="0" quotePrefix="0" xfId="8">
      <alignment vertical="center"/>
    </xf>
    <xf numFmtId="168" fontId="14" fillId="0" borderId="0" applyAlignment="1" pivotButton="0" quotePrefix="0" xfId="8">
      <alignment vertical="center"/>
    </xf>
    <xf numFmtId="168" fontId="16" fillId="0" borderId="0" applyAlignment="1" pivotButton="0" quotePrefix="0" xfId="0">
      <alignment vertical="center"/>
    </xf>
    <xf numFmtId="168" fontId="22" fillId="0" borderId="0" applyAlignment="1" pivotButton="0" quotePrefix="0" xfId="8">
      <alignment horizontal="left" vertical="center" wrapText="1"/>
    </xf>
    <xf numFmtId="0" fontId="19" fillId="0" borderId="4" applyAlignment="1" pivotButton="0" quotePrefix="0" xfId="11">
      <alignment horizontal="center" vertical="center" wrapText="1" shrinkToFit="1"/>
    </xf>
    <xf numFmtId="165" fontId="24" fillId="0" borderId="4" applyAlignment="1" pivotButton="0" quotePrefix="0" xfId="1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4" applyAlignment="1" pivotButton="0" quotePrefix="0" xfId="11">
      <alignment horizontal="center" vertical="center"/>
    </xf>
    <xf numFmtId="0" fontId="12" fillId="0" borderId="4" applyAlignment="1" pivotButton="0" quotePrefix="0" xfId="8">
      <alignment vertical="center"/>
    </xf>
    <xf numFmtId="166" fontId="16" fillId="0" borderId="4" applyAlignment="1" pivotButton="0" quotePrefix="0" xfId="11">
      <alignment horizontal="center" vertical="center"/>
    </xf>
    <xf numFmtId="167" fontId="16" fillId="0" borderId="4" applyAlignment="1" pivotButton="0" quotePrefix="0" xfId="11">
      <alignment horizontal="center" vertical="center"/>
    </xf>
    <xf numFmtId="168" fontId="16" fillId="0" borderId="4" applyAlignment="1" pivotButton="0" quotePrefix="0" xfId="11">
      <alignment horizontal="center" vertical="center" shrinkToFit="1"/>
    </xf>
    <xf numFmtId="164" fontId="25" fillId="2" borderId="5" applyAlignment="1" pivotButton="0" quotePrefix="0" xfId="1">
      <alignment horizontal="center" vertical="center"/>
    </xf>
    <xf numFmtId="166" fontId="14" fillId="0" borderId="7" applyAlignment="1" pivotButton="0" quotePrefix="0" xfId="8">
      <alignment horizontal="center" vertical="center"/>
    </xf>
    <xf numFmtId="167" fontId="14" fillId="0" borderId="7" applyAlignment="1" pivotButton="0" quotePrefix="0" xfId="8">
      <alignment horizontal="center" vertical="center"/>
    </xf>
    <xf numFmtId="168" fontId="6" fillId="0" borderId="7" applyAlignment="1" pivotButton="0" quotePrefix="0" xfId="0">
      <alignment horizontal="center" vertical="center"/>
    </xf>
    <xf numFmtId="164" fontId="25" fillId="0" borderId="8" applyAlignment="1" pivotButton="0" quotePrefix="0" xfId="1">
      <alignment horizontal="center" vertical="center"/>
    </xf>
    <xf numFmtId="0" fontId="18" fillId="3" borderId="11" applyAlignment="1" pivotButton="0" quotePrefix="0" xfId="0">
      <alignment horizontal="center" vertical="center"/>
    </xf>
    <xf numFmtId="0" fontId="17" fillId="3" borderId="12" applyAlignment="1" pivotButton="0" quotePrefix="0" xfId="11">
      <alignment horizontal="center" vertical="center" shrinkToFit="1"/>
    </xf>
    <xf numFmtId="0" fontId="18" fillId="3" borderId="12" applyAlignment="1" pivotButton="0" quotePrefix="0" xfId="11">
      <alignment horizontal="center" vertical="center" shrinkToFit="1"/>
    </xf>
    <xf numFmtId="0" fontId="18" fillId="3" borderId="12" applyAlignment="1" pivotButton="0" quotePrefix="0" xfId="11">
      <alignment horizontal="center" vertical="center" wrapText="1"/>
    </xf>
    <xf numFmtId="169" fontId="18" fillId="3" borderId="12" applyAlignment="1" pivotButton="0" quotePrefix="0" xfId="12">
      <alignment horizontal="center" vertical="center"/>
    </xf>
    <xf numFmtId="0" fontId="25" fillId="3" borderId="12" applyAlignment="1" pivotButton="0" quotePrefix="0" xfId="8">
      <alignment horizontal="center" vertical="center"/>
    </xf>
    <xf numFmtId="0" fontId="25" fillId="3" borderId="16" applyAlignment="1" pivotButton="0" quotePrefix="0" xfId="8">
      <alignment horizontal="center" vertical="center"/>
    </xf>
    <xf numFmtId="164" fontId="27" fillId="2" borderId="10" pivotButton="0" quotePrefix="0" xfId="1"/>
    <xf numFmtId="0" fontId="28" fillId="0" borderId="0" applyAlignment="1" pivotButton="0" quotePrefix="0" xfId="8">
      <alignment horizontal="centerContinuous" vertical="center"/>
    </xf>
    <xf numFmtId="0" fontId="29" fillId="0" borderId="0" applyAlignment="1" pivotButton="0" quotePrefix="0" xfId="8">
      <alignment horizontal="centerContinuous" vertical="center"/>
    </xf>
    <xf numFmtId="0" fontId="30" fillId="0" borderId="0" applyAlignment="1" pivotButton="0" quotePrefix="0" xfId="8">
      <alignment horizontal="centerContinuous" vertical="center"/>
    </xf>
    <xf numFmtId="0" fontId="31" fillId="0" borderId="0" applyAlignment="1" pivotButton="0" quotePrefix="0" xfId="8">
      <alignment horizontal="centerContinuous" vertical="center"/>
    </xf>
    <xf numFmtId="0" fontId="32" fillId="0" borderId="0" applyAlignment="1" pivotButton="0" quotePrefix="0" xfId="8">
      <alignment vertical="center"/>
    </xf>
    <xf numFmtId="0" fontId="33" fillId="0" borderId="0" applyAlignment="1" pivotButton="0" quotePrefix="0" xfId="8">
      <alignment vertical="center"/>
    </xf>
    <xf numFmtId="0" fontId="34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 vertical="center"/>
    </xf>
    <xf numFmtId="0" fontId="36" fillId="0" borderId="0" applyAlignment="1" pivotButton="0" quotePrefix="0" xfId="8">
      <alignment vertical="center"/>
    </xf>
    <xf numFmtId="0" fontId="35" fillId="0" borderId="0" applyAlignment="1" pivotButton="0" quotePrefix="0" xfId="8">
      <alignment vertical="center"/>
    </xf>
    <xf numFmtId="0" fontId="37" fillId="0" borderId="0" applyAlignment="1" pivotButton="0" quotePrefix="0" xfId="8">
      <alignment vertical="center"/>
    </xf>
    <xf numFmtId="0" fontId="37" fillId="0" borderId="0" applyAlignment="1" pivotButton="0" quotePrefix="0" xfId="9">
      <alignment vertical="center"/>
    </xf>
    <xf numFmtId="0" fontId="25" fillId="3" borderId="15" applyAlignment="1" pivotButton="0" quotePrefix="0" xfId="8">
      <alignment horizontal="center" vertical="center"/>
    </xf>
    <xf numFmtId="165" fontId="24" fillId="0" borderId="17" applyAlignment="1" pivotButton="0" quotePrefix="0" xfId="1">
      <alignment horizontal="center" vertical="center"/>
    </xf>
    <xf numFmtId="165" fontId="24" fillId="0" borderId="18" applyAlignment="1" pivotButton="0" quotePrefix="0" xfId="1">
      <alignment horizontal="center" vertical="center"/>
    </xf>
    <xf numFmtId="165" fontId="24" fillId="4" borderId="8" applyAlignment="1" pivotButton="0" quotePrefix="0" xfId="1">
      <alignment horizontal="center" vertical="center"/>
    </xf>
    <xf numFmtId="165" fontId="24" fillId="0" borderId="5" applyAlignment="1" pivotButton="0" quotePrefix="0" xfId="1">
      <alignment horizontal="center" vertical="center"/>
    </xf>
    <xf numFmtId="0" fontId="19" fillId="0" borderId="7" applyAlignment="1" pivotButton="0" quotePrefix="0" xfId="11">
      <alignment horizontal="center" vertical="center" wrapText="1" shrinkToFit="1"/>
    </xf>
    <xf numFmtId="170" fontId="19" fillId="0" borderId="7" applyAlignment="1" pivotButton="0" quotePrefix="0" xfId="11">
      <alignment horizontal="left" vertical="center" shrinkToFit="1" indent="1"/>
    </xf>
    <xf numFmtId="0" fontId="19" fillId="0" borderId="4" applyAlignment="1" pivotButton="0" quotePrefix="0" xfId="11">
      <alignment horizontal="left" vertical="center" shrinkToFit="1" indent="1"/>
    </xf>
    <xf numFmtId="0" fontId="12" fillId="0" borderId="7" applyAlignment="1" pivotButton="0" quotePrefix="0" xfId="8">
      <alignment horizontal="left" vertical="center" indent="1"/>
    </xf>
    <xf numFmtId="167" fontId="14" fillId="0" borderId="7" applyAlignment="1" pivotButton="0" quotePrefix="0" xfId="8">
      <alignment horizontal="center" vertical="center"/>
    </xf>
    <xf numFmtId="0" fontId="19" fillId="0" borderId="9" applyAlignment="1" pivotButton="0" quotePrefix="0" xfId="11">
      <alignment horizontal="center" vertical="center" wrapText="1"/>
    </xf>
    <xf numFmtId="0" fontId="10" fillId="0" borderId="23" applyAlignment="1" pivotButton="0" quotePrefix="0" xfId="8">
      <alignment vertical="center"/>
    </xf>
    <xf numFmtId="0" fontId="10" fillId="0" borderId="20" applyAlignment="1" pivotButton="0" quotePrefix="0" xfId="8">
      <alignment horizontal="center" vertical="center"/>
    </xf>
    <xf numFmtId="0" fontId="10" fillId="0" borderId="30" applyAlignment="1" pivotButton="0" quotePrefix="0" xfId="8">
      <alignment horizontal="center" vertical="center"/>
    </xf>
    <xf numFmtId="170" fontId="19" fillId="0" borderId="7" applyAlignment="1" pivotButton="0" quotePrefix="0" xfId="11">
      <alignment horizontal="left" vertical="center" shrinkToFit="1" indent="1"/>
    </xf>
    <xf numFmtId="0" fontId="24" fillId="0" borderId="2" applyAlignment="1" pivotButton="0" quotePrefix="0" xfId="8">
      <alignment horizontal="center" vertical="center"/>
    </xf>
    <xf numFmtId="0" fontId="24" fillId="0" borderId="1" applyAlignment="1" pivotButton="0" quotePrefix="0" xfId="8">
      <alignment horizontal="center" vertical="center"/>
    </xf>
    <xf numFmtId="0" fontId="10" fillId="0" borderId="26" applyAlignment="1" pivotButton="0" quotePrefix="0" xfId="8">
      <alignment horizontal="left" vertical="center" indent="1"/>
    </xf>
    <xf numFmtId="0" fontId="10" fillId="0" borderId="27" applyAlignment="1" pivotButton="0" quotePrefix="0" xfId="8">
      <alignment horizontal="left" vertical="center" indent="1"/>
    </xf>
    <xf numFmtId="0" fontId="10" fillId="0" borderId="19" applyAlignment="1" pivotButton="0" quotePrefix="0" xfId="8">
      <alignment horizontal="left" vertical="center" indent="1"/>
    </xf>
    <xf numFmtId="0" fontId="37" fillId="0" borderId="0" applyAlignment="1" pivotButton="0" quotePrefix="0" xfId="8">
      <alignment vertical="center"/>
    </xf>
    <xf numFmtId="0" fontId="37" fillId="0" borderId="0" applyAlignment="1" pivotButton="0" quotePrefix="0" xfId="8">
      <alignment horizontal="left" vertical="center"/>
    </xf>
    <xf numFmtId="171" fontId="10" fillId="0" borderId="21" applyAlignment="1" pivotButton="0" quotePrefix="0" xfId="8">
      <alignment horizontal="right" vertical="center" indent="1"/>
    </xf>
    <xf numFmtId="171" fontId="10" fillId="0" borderId="22" applyAlignment="1" pivotButton="0" quotePrefix="0" xfId="8">
      <alignment horizontal="right" vertical="center" indent="1"/>
    </xf>
    <xf numFmtId="0" fontId="10" fillId="0" borderId="21" applyAlignment="1" pivotButton="0" quotePrefix="0" xfId="8">
      <alignment horizontal="left" vertical="center" indent="1"/>
    </xf>
    <xf numFmtId="0" fontId="10" fillId="0" borderId="28" applyAlignment="1" pivotButton="0" quotePrefix="0" xfId="8">
      <alignment horizontal="left" vertical="center" indent="1"/>
    </xf>
    <xf numFmtId="0" fontId="10" fillId="0" borderId="29" applyAlignment="1" pivotButton="0" quotePrefix="0" xfId="8">
      <alignment horizontal="left" vertical="center" indent="1"/>
    </xf>
    <xf numFmtId="0" fontId="10" fillId="0" borderId="24" applyAlignment="1" pivotButton="0" quotePrefix="0" xfId="8">
      <alignment horizontal="center" vertical="center"/>
    </xf>
    <xf numFmtId="0" fontId="10" fillId="0" borderId="25" applyAlignment="1" pivotButton="0" quotePrefix="0" xfId="8">
      <alignment horizontal="center" vertical="center"/>
    </xf>
    <xf numFmtId="0" fontId="10" fillId="0" borderId="31" applyAlignment="1" pivotButton="0" quotePrefix="0" xfId="8">
      <alignment horizontal="left" vertical="center" indent="1"/>
    </xf>
    <xf numFmtId="0" fontId="10" fillId="0" borderId="32" applyAlignment="1" pivotButton="0" quotePrefix="0" xfId="8">
      <alignment horizontal="left" vertical="center" indent="1"/>
    </xf>
    <xf numFmtId="0" fontId="10" fillId="0" borderId="33" applyAlignment="1" pivotButton="0" quotePrefix="0" xfId="8">
      <alignment horizontal="left" vertical="center" indent="1"/>
    </xf>
    <xf numFmtId="171" fontId="10" fillId="0" borderId="34" applyAlignment="1" pivotButton="0" quotePrefix="0" xfId="8">
      <alignment horizontal="right" vertical="center" indent="1"/>
    </xf>
    <xf numFmtId="171" fontId="10" fillId="0" borderId="35" applyAlignment="1" pivotButton="0" quotePrefix="0" xfId="8">
      <alignment horizontal="right" vertical="center" indent="1"/>
    </xf>
    <xf numFmtId="0" fontId="10" fillId="0" borderId="36" applyAlignment="1" pivotButton="0" quotePrefix="0" xfId="8">
      <alignment horizontal="left" vertical="center" indent="1"/>
    </xf>
    <xf numFmtId="0" fontId="10" fillId="0" borderId="37" applyAlignment="1" pivotButton="0" quotePrefix="0" xfId="8">
      <alignment horizontal="left" vertical="center" indent="1"/>
    </xf>
    <xf numFmtId="0" fontId="10" fillId="0" borderId="38" applyAlignment="1" pivotButton="0" quotePrefix="0" xfId="8">
      <alignment horizontal="left" vertical="center" indent="1"/>
    </xf>
    <xf numFmtId="0" fontId="10" fillId="0" borderId="39" applyAlignment="1" pivotButton="0" quotePrefix="0" xfId="8">
      <alignment horizontal="left" vertical="center" indent="1"/>
    </xf>
    <xf numFmtId="171" fontId="10" fillId="0" borderId="39" applyAlignment="1" pivotButton="0" quotePrefix="0" xfId="8">
      <alignment horizontal="right" vertical="center" indent="1"/>
    </xf>
    <xf numFmtId="171" fontId="10" fillId="0" borderId="40" applyAlignment="1" pivotButton="0" quotePrefix="0" xfId="8">
      <alignment horizontal="right" vertical="center" indent="1"/>
    </xf>
    <xf numFmtId="0" fontId="23" fillId="0" borderId="0" applyAlignment="1" pivotButton="0" quotePrefix="0" xfId="8">
      <alignment horizontal="left"/>
    </xf>
    <xf numFmtId="14" fontId="23" fillId="0" borderId="0" applyAlignment="1" pivotButton="0" quotePrefix="0" xfId="8">
      <alignment horizontal="left"/>
    </xf>
    <xf numFmtId="0" fontId="17" fillId="3" borderId="13" applyAlignment="1" pivotButton="0" quotePrefix="0" xfId="11">
      <alignment horizontal="center" vertical="center" shrinkToFit="1"/>
    </xf>
    <xf numFmtId="0" fontId="17" fillId="3" borderId="14" applyAlignment="1" pivotButton="0" quotePrefix="0" xfId="11">
      <alignment horizontal="center" vertical="center" shrinkToFit="1"/>
    </xf>
    <xf numFmtId="0" fontId="17" fillId="3" borderId="15" applyAlignment="1" pivotButton="0" quotePrefix="0" xfId="11">
      <alignment horizontal="center" vertical="center" shrinkToFit="1"/>
    </xf>
    <xf numFmtId="0" fontId="38" fillId="0" borderId="0" applyAlignment="1" pivotButton="0" quotePrefix="0" xfId="8">
      <alignment horizontal="left" vertical="center" wrapText="1" indent="1"/>
    </xf>
    <xf numFmtId="0" fontId="38" fillId="0" borderId="0" applyAlignment="1" pivotButton="0" quotePrefix="0" xfId="8">
      <alignment horizontal="left" vertical="center" indent="1"/>
    </xf>
    <xf numFmtId="172" fontId="37" fillId="0" borderId="0" applyAlignment="1" pivotButton="0" quotePrefix="0" xfId="8">
      <alignment vertical="center"/>
    </xf>
    <xf numFmtId="0" fontId="19" fillId="0" borderId="7" applyAlignment="1" pivotButton="0" quotePrefix="0" xfId="11">
      <alignment horizontal="left" vertical="center" shrinkToFit="1" indent="1"/>
    </xf>
    <xf numFmtId="0" fontId="19" fillId="0" borderId="4" applyAlignment="1" pivotButton="0" quotePrefix="0" xfId="11">
      <alignment horizontal="left" vertical="center" shrinkToFit="1" indent="1"/>
    </xf>
    <xf numFmtId="0" fontId="0" fillId="0" borderId="0" pivotButton="0" quotePrefix="0" xfId="0"/>
    <xf numFmtId="172" fontId="37" fillId="0" borderId="0" applyAlignment="1" pivotButton="0" quotePrefix="0" xfId="8">
      <alignment vertical="center"/>
    </xf>
    <xf numFmtId="0" fontId="0" fillId="0" borderId="51" pivotButton="0" quotePrefix="0" xfId="0"/>
    <xf numFmtId="0" fontId="10" fillId="0" borderId="46" applyAlignment="1" pivotButton="0" quotePrefix="0" xfId="8">
      <alignment horizontal="left" vertical="center" indent="1"/>
    </xf>
    <xf numFmtId="0" fontId="0" fillId="0" borderId="29" pivotButton="0" quotePrefix="0" xfId="0"/>
    <xf numFmtId="0" fontId="0" fillId="0" borderId="45" pivotButton="0" quotePrefix="0" xfId="0"/>
    <xf numFmtId="171" fontId="10" fillId="0" borderId="21" applyAlignment="1" pivotButton="0" quotePrefix="0" xfId="8">
      <alignment horizontal="right" vertical="center" indent="1"/>
    </xf>
    <xf numFmtId="0" fontId="0" fillId="0" borderId="27" pivotButton="0" quotePrefix="0" xfId="0"/>
    <xf numFmtId="0" fontId="0" fillId="0" borderId="32" pivotButton="0" quotePrefix="0" xfId="0"/>
    <xf numFmtId="171" fontId="10" fillId="0" borderId="34" applyAlignment="1" pivotButton="0" quotePrefix="0" xfId="8">
      <alignment horizontal="right" vertical="center" indent="1"/>
    </xf>
    <xf numFmtId="0" fontId="0" fillId="0" borderId="44" pivotButton="0" quotePrefix="0" xfId="0"/>
    <xf numFmtId="0" fontId="10" fillId="0" borderId="55" applyAlignment="1" pivotButton="0" quotePrefix="0" xfId="8">
      <alignment horizontal="left" vertical="center" indent="1"/>
    </xf>
    <xf numFmtId="0" fontId="0" fillId="0" borderId="37" pivotButton="0" quotePrefix="0" xfId="0"/>
    <xf numFmtId="0" fontId="0" fillId="0" borderId="38" pivotButton="0" quotePrefix="0" xfId="0"/>
    <xf numFmtId="171" fontId="10" fillId="0" borderId="39" applyAlignment="1" pivotButton="0" quotePrefix="0" xfId="8">
      <alignment horizontal="right" vertical="center" indent="1"/>
    </xf>
    <xf numFmtId="0" fontId="24" fillId="0" borderId="52" applyAlignment="1" pivotButton="0" quotePrefix="0" xfId="8">
      <alignment horizontal="center" vertical="center"/>
    </xf>
    <xf numFmtId="0" fontId="0" fillId="0" borderId="1" pivotButton="0" quotePrefix="0" xfId="0"/>
    <xf numFmtId="166" fontId="12" fillId="0" borderId="0" applyAlignment="1" pivotButton="0" quotePrefix="0" xfId="8">
      <alignment vertical="center"/>
    </xf>
    <xf numFmtId="167" fontId="12" fillId="0" borderId="0" applyAlignment="1" pivotButton="0" quotePrefix="0" xfId="8">
      <alignment vertical="center"/>
    </xf>
    <xf numFmtId="168" fontId="12" fillId="0" borderId="0" applyAlignment="1" pivotButton="0" quotePrefix="0" xfId="8">
      <alignment vertical="center"/>
    </xf>
    <xf numFmtId="164" fontId="12" fillId="0" borderId="0" pivotButton="0" quotePrefix="0" xfId="1"/>
    <xf numFmtId="166" fontId="14" fillId="0" borderId="0" applyAlignment="1" pivotButton="0" quotePrefix="0" xfId="8">
      <alignment vertical="center"/>
    </xf>
    <xf numFmtId="167" fontId="14" fillId="0" borderId="0" applyAlignment="1" pivotButton="0" quotePrefix="0" xfId="8">
      <alignment vertical="center"/>
    </xf>
    <xf numFmtId="168" fontId="14" fillId="0" borderId="0" applyAlignment="1" pivotButton="0" quotePrefix="0" xfId="8">
      <alignment vertical="center"/>
    </xf>
    <xf numFmtId="166" fontId="16" fillId="0" borderId="0" applyAlignment="1" pivotButton="0" quotePrefix="0" xfId="0">
      <alignment vertical="center"/>
    </xf>
    <xf numFmtId="167" fontId="16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/>
    </xf>
    <xf numFmtId="164" fontId="27" fillId="2" borderId="10" pivotButton="0" quotePrefix="0" xfId="1"/>
    <xf numFmtId="0" fontId="0" fillId="0" borderId="14" pivotButton="0" quotePrefix="0" xfId="0"/>
    <xf numFmtId="0" fontId="0" fillId="0" borderId="15" pivotButton="0" quotePrefix="0" xfId="0"/>
    <xf numFmtId="169" fontId="18" fillId="3" borderId="12" applyAlignment="1" pivotButton="0" quotePrefix="0" xfId="12">
      <alignment horizontal="center" vertical="center"/>
    </xf>
    <xf numFmtId="170" fontId="19" fillId="0" borderId="7" applyAlignment="1" pivotButton="0" quotePrefix="0" xfId="11">
      <alignment horizontal="left" vertical="center" shrinkToFit="1" indent="1"/>
    </xf>
    <xf numFmtId="166" fontId="14" fillId="0" borderId="7" applyAlignment="1" pivotButton="0" quotePrefix="0" xfId="8">
      <alignment horizontal="center" vertical="center"/>
    </xf>
    <xf numFmtId="167" fontId="14" fillId="0" borderId="7" applyAlignment="1" pivotButton="0" quotePrefix="0" xfId="8">
      <alignment horizontal="center" vertical="center"/>
    </xf>
    <xf numFmtId="168" fontId="6" fillId="0" borderId="7" applyAlignment="1" pivotButton="0" quotePrefix="0" xfId="0">
      <alignment horizontal="center" vertical="center"/>
    </xf>
    <xf numFmtId="165" fontId="24" fillId="0" borderId="7" applyAlignment="1" pivotButton="0" quotePrefix="0" xfId="1">
      <alignment horizontal="center" vertical="center"/>
    </xf>
    <xf numFmtId="165" fontId="24" fillId="4" borderId="8" applyAlignment="1" pivotButton="0" quotePrefix="0" xfId="1">
      <alignment horizontal="center" vertical="center"/>
    </xf>
    <xf numFmtId="165" fontId="24" fillId="0" borderId="17" applyAlignment="1" pivotButton="0" quotePrefix="0" xfId="1">
      <alignment horizontal="center" vertical="center"/>
    </xf>
    <xf numFmtId="164" fontId="25" fillId="0" borderId="8" applyAlignment="1" pivotButton="0" quotePrefix="0" xfId="1">
      <alignment horizontal="center" vertical="center"/>
    </xf>
    <xf numFmtId="166" fontId="16" fillId="0" borderId="4" applyAlignment="1" pivotButton="0" quotePrefix="0" xfId="11">
      <alignment horizontal="center" vertical="center"/>
    </xf>
    <xf numFmtId="167" fontId="16" fillId="0" borderId="4" applyAlignment="1" pivotButton="0" quotePrefix="0" xfId="11">
      <alignment horizontal="center" vertical="center"/>
    </xf>
    <xf numFmtId="168" fontId="16" fillId="0" borderId="4" applyAlignment="1" pivotButton="0" quotePrefix="0" xfId="11">
      <alignment horizontal="center" vertical="center" shrinkToFit="1"/>
    </xf>
    <xf numFmtId="165" fontId="24" fillId="0" borderId="4" applyAlignment="1" pivotButton="0" quotePrefix="0" xfId="1">
      <alignment horizontal="center" vertical="center"/>
    </xf>
    <xf numFmtId="165" fontId="24" fillId="0" borderId="5" applyAlignment="1" pivotButton="0" quotePrefix="0" xfId="1">
      <alignment horizontal="center" vertical="center"/>
    </xf>
    <xf numFmtId="165" fontId="24" fillId="0" borderId="18" applyAlignment="1" pivotButton="0" quotePrefix="0" xfId="1">
      <alignment horizontal="center" vertical="center"/>
    </xf>
    <xf numFmtId="164" fontId="25" fillId="2" borderId="5" applyAlignment="1" pivotButton="0" quotePrefix="0" xfId="1">
      <alignment horizontal="center" vertical="center"/>
    </xf>
    <xf numFmtId="166" fontId="22" fillId="0" borderId="0" applyAlignment="1" pivotButton="0" quotePrefix="0" xfId="8">
      <alignment horizontal="left" vertical="center" wrapText="1"/>
    </xf>
    <xf numFmtId="167" fontId="22" fillId="0" borderId="0" applyAlignment="1" pivotButton="0" quotePrefix="0" xfId="8">
      <alignment horizontal="left" vertical="center" wrapText="1"/>
    </xf>
    <xf numFmtId="168" fontId="22" fillId="0" borderId="0" applyAlignment="1" pivotButton="0" quotePrefix="0" xfId="8">
      <alignment horizontal="left" vertical="center" wrapText="1"/>
    </xf>
    <xf numFmtId="165" fontId="12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4" fontId="12" fillId="0" borderId="0" applyAlignment="1" pivotButton="0" quotePrefix="0" xfId="8">
      <alignment vertical="center"/>
    </xf>
  </cellXfs>
  <cellStyles count="13">
    <cellStyle name="표준" xfId="0" builtinId="0"/>
    <cellStyle name="쉼표 [0] 2" xfId="1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1060;&#48120;&#49689;\&#51060;&#48120;&#49689;\&#49373;&#49328;&#51068;&#51221;\ISA&#44032;&#44277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048567"/>
  <sheetViews>
    <sheetView topLeftCell="B1" workbookViewId="0">
      <selection activeCell="E59" sqref="E59"/>
    </sheetView>
  </sheetViews>
  <sheetFormatPr baseColWidth="8" defaultRowHeight="13.5" customHeight="1"/>
  <cols>
    <col width="1.875" customWidth="1" style="1" min="1" max="1"/>
    <col width="5.375" customWidth="1" style="1" min="2" max="2"/>
    <col width="16.25" bestFit="1" customWidth="1" style="1" min="3" max="3"/>
    <col width="12.875" customWidth="1" style="1" min="4" max="4"/>
    <col width="14" customWidth="1" style="1" min="5" max="8"/>
    <col width="9" customWidth="1" style="1" min="9" max="16384"/>
  </cols>
  <sheetData>
    <row r="1" ht="35.25" customHeight="1" s="119">
      <c r="B1" s="57" t="inlineStr">
        <is>
          <t>견  적  서</t>
        </is>
      </c>
      <c r="C1" s="58" t="n"/>
      <c r="D1" s="58" t="n"/>
      <c r="E1" s="58" t="n"/>
      <c r="F1" s="58" t="n"/>
      <c r="G1" s="58" t="n"/>
      <c r="H1" s="58" t="n"/>
    </row>
    <row r="2" ht="27" customHeight="1" s="119">
      <c r="B2" s="59" t="n"/>
      <c r="C2" s="60" t="n"/>
      <c r="D2" s="60" t="n"/>
      <c r="E2" s="60" t="n"/>
      <c r="F2" s="60" t="n"/>
      <c r="G2" s="60" t="n"/>
      <c r="H2" s="60" t="n"/>
    </row>
    <row r="3">
      <c r="B3" s="61" t="n"/>
      <c r="C3" s="61" t="n"/>
      <c r="D3" s="61" t="n"/>
      <c r="E3" s="61" t="n"/>
      <c r="F3" s="62" t="n"/>
      <c r="G3" s="63" t="n"/>
      <c r="H3" s="63" t="n"/>
    </row>
    <row r="4" ht="39.95" customHeight="1" s="119">
      <c r="B4" s="64" t="inlineStr">
        <is>
          <t>회사명㈜ 귀중</t>
        </is>
      </c>
      <c r="C4" s="65" t="n"/>
      <c r="D4" s="65" t="n"/>
      <c r="E4" s="65" t="n"/>
      <c r="F4" s="66" t="n"/>
      <c r="G4" s="66" t="n"/>
      <c r="H4" s="66" t="n"/>
    </row>
    <row r="5" ht="21" customHeight="1" s="119">
      <c r="B5" s="89" t="inlineStr">
        <is>
          <t xml:space="preserve">  담당자 : 대상업체 담당자 직위</t>
        </is>
      </c>
      <c r="F5" s="89" t="inlineStr">
        <is>
          <t>대표자 : 김종호 대표이사    (인)</t>
        </is>
      </c>
      <c r="G5" s="89" t="n"/>
      <c r="H5" s="89" t="n"/>
    </row>
    <row r="6" ht="24.75" customHeight="1" s="119">
      <c r="B6" s="89" t="inlineStr">
        <is>
          <t xml:space="preserve">  부   서 : 구매팀 </t>
        </is>
      </c>
      <c r="F6" s="89" t="inlineStr">
        <is>
          <t>사업자등록번호 : 000-00-00000</t>
        </is>
      </c>
      <c r="G6" s="89" t="n"/>
      <c r="H6" s="89" t="n"/>
    </row>
    <row r="7" ht="24.75" customHeight="1" s="119">
      <c r="B7" s="120">
        <f>기계!P21</f>
        <v/>
      </c>
      <c r="F7" s="90" t="inlineStr">
        <is>
          <t>주소 : 경남 진주시 뿌리산단로 15번길24</t>
        </is>
      </c>
    </row>
    <row r="8" ht="24.75" customHeight="1" s="119">
      <c r="B8" s="68" t="inlineStr">
        <is>
          <t xml:space="preserve">  사업명 : 사업명</t>
        </is>
      </c>
      <c r="C8" s="89" t="n"/>
      <c r="D8" s="89" t="n"/>
      <c r="E8" s="89" t="n"/>
      <c r="F8" s="89" t="inlineStr">
        <is>
          <t>전화번호 : 055-761-3767</t>
        </is>
      </c>
      <c r="G8" s="89" t="n"/>
      <c r="H8" s="89" t="n"/>
    </row>
    <row r="9" ht="24.75" customHeight="1" s="119">
      <c r="B9" s="89" t="inlineStr">
        <is>
          <t xml:space="preserve">  아래와 같이 견적합니다.</t>
        </is>
      </c>
      <c r="C9" s="89" t="n"/>
      <c r="D9" s="89" t="n"/>
      <c r="E9" s="89" t="n"/>
      <c r="F9" s="89" t="inlineStr">
        <is>
          <t>담당자 : 김병환 이사</t>
        </is>
      </c>
      <c r="G9" s="89" t="n"/>
      <c r="H9" s="89" t="n"/>
    </row>
    <row r="10" ht="24.75" customHeight="1" s="119">
      <c r="B10" s="3" t="n"/>
      <c r="C10" s="3" t="n"/>
      <c r="D10" s="3" t="n"/>
      <c r="E10" s="3" t="n"/>
      <c r="F10" s="2" t="n"/>
      <c r="G10" s="3" t="n"/>
      <c r="H10" s="3" t="n"/>
    </row>
    <row r="11" ht="24.75" customHeight="1" s="119">
      <c r="B11" s="3" t="n"/>
      <c r="C11" s="3" t="n"/>
      <c r="D11" s="3" t="n"/>
      <c r="E11" s="3" t="n"/>
      <c r="F11" s="2" t="n"/>
      <c r="G11" s="3" t="n"/>
      <c r="H11" s="3" t="n"/>
    </row>
    <row r="12" ht="24.75" customHeight="1" s="119">
      <c r="B12" s="3" t="n"/>
      <c r="C12" s="3" t="n"/>
      <c r="D12" s="3" t="n"/>
      <c r="E12" s="3" t="n"/>
      <c r="F12" s="2" t="n"/>
      <c r="G12" s="3" t="n"/>
      <c r="H12" s="3" t="n"/>
    </row>
    <row r="13" ht="26.25" customHeight="1" s="119" thickBot="1">
      <c r="B13" s="3" t="n"/>
      <c r="C13" s="3" t="n"/>
      <c r="D13" s="3" t="n"/>
      <c r="E13" s="3" t="n"/>
      <c r="F13" s="2" t="n"/>
      <c r="G13" s="3" t="n"/>
      <c r="H13" s="3" t="n"/>
    </row>
    <row r="14" ht="24.75" customHeight="1" s="119" thickBot="1">
      <c r="B14" s="80" t="inlineStr">
        <is>
          <t>No</t>
        </is>
      </c>
      <c r="C14" s="96" t="inlineStr">
        <is>
          <t xml:space="preserve"> 품 번</t>
        </is>
      </c>
      <c r="D14" s="121" t="n"/>
      <c r="E14" s="96" t="inlineStr">
        <is>
          <t>품 명</t>
        </is>
      </c>
      <c r="F14" s="121" t="n"/>
      <c r="G14" s="96" t="inlineStr">
        <is>
          <t>견적 단가</t>
        </is>
      </c>
      <c r="H14" s="121" t="n"/>
    </row>
    <row r="15" ht="24.75" customHeight="1" s="119" thickTop="1">
      <c r="B15" s="81">
        <f>ROW()-14</f>
        <v/>
      </c>
      <c r="C15" s="122">
        <f>기계!$B7</f>
        <v/>
      </c>
      <c r="D15" s="123" t="n"/>
      <c r="E15" s="93">
        <f>기계!$C7</f>
        <v/>
      </c>
      <c r="F15" s="124" t="n"/>
      <c r="G15" s="125">
        <f>기계!$W7</f>
        <v/>
      </c>
      <c r="H15" s="124" t="n"/>
    </row>
    <row r="16" ht="24.75" customHeight="1" s="119">
      <c r="B16" s="81">
        <f>ROW()-14</f>
        <v/>
      </c>
      <c r="C16" s="88">
        <f>기계!$B8</f>
        <v/>
      </c>
      <c r="D16" s="126" t="n"/>
      <c r="E16" s="88">
        <f>기계!$C8</f>
        <v/>
      </c>
      <c r="F16" s="126" t="n"/>
      <c r="G16" s="125">
        <f>기계!$W8</f>
        <v/>
      </c>
      <c r="H16" s="124" t="n"/>
    </row>
    <row r="17" ht="24.75" customHeight="1" s="119">
      <c r="B17" s="81">
        <f>ROW()-14</f>
        <v/>
      </c>
      <c r="C17" s="88">
        <f>기계!$B9</f>
        <v/>
      </c>
      <c r="D17" s="126" t="n"/>
      <c r="E17" s="88">
        <f>기계!$C9</f>
        <v/>
      </c>
      <c r="F17" s="126" t="n"/>
      <c r="G17" s="125">
        <f>기계!$W9</f>
        <v/>
      </c>
      <c r="H17" s="124" t="n"/>
    </row>
    <row r="18" ht="24.75" customHeight="1" s="119">
      <c r="B18" s="81">
        <f>ROW()-14</f>
        <v/>
      </c>
      <c r="C18" s="88">
        <f>기계!$B10</f>
        <v/>
      </c>
      <c r="D18" s="126" t="n"/>
      <c r="E18" s="88">
        <f>기계!$C10</f>
        <v/>
      </c>
      <c r="F18" s="126" t="n"/>
      <c r="G18" s="125">
        <f>기계!$W10</f>
        <v/>
      </c>
      <c r="H18" s="124" t="n"/>
    </row>
    <row r="19" ht="24.75" customHeight="1" s="119">
      <c r="B19" s="81">
        <f>ROW()-14</f>
        <v/>
      </c>
      <c r="C19" s="88">
        <f>기계!$B11</f>
        <v/>
      </c>
      <c r="D19" s="126" t="n"/>
      <c r="E19" s="88">
        <f>기계!$C11</f>
        <v/>
      </c>
      <c r="F19" s="126" t="n"/>
      <c r="G19" s="125">
        <f>기계!$W11</f>
        <v/>
      </c>
      <c r="H19" s="124" t="n"/>
    </row>
    <row r="20" ht="24.75" customHeight="1" s="119">
      <c r="B20" s="81">
        <f>ROW()-14</f>
        <v/>
      </c>
      <c r="C20" s="88">
        <f>기계!$B12</f>
        <v/>
      </c>
      <c r="D20" s="126" t="n"/>
      <c r="E20" s="88">
        <f>기계!$C12</f>
        <v/>
      </c>
      <c r="F20" s="126" t="n"/>
      <c r="G20" s="125">
        <f>기계!$W12</f>
        <v/>
      </c>
      <c r="H20" s="124" t="n"/>
    </row>
    <row r="21" ht="24.75" customHeight="1" s="119">
      <c r="B21" s="81">
        <f>ROW()-14</f>
        <v/>
      </c>
      <c r="C21" s="88">
        <f>기계!$B13</f>
        <v/>
      </c>
      <c r="D21" s="126" t="n"/>
      <c r="E21" s="88">
        <f>기계!$C16</f>
        <v/>
      </c>
      <c r="F21" s="126" t="n"/>
      <c r="G21" s="125">
        <f>기계!$W16</f>
        <v/>
      </c>
      <c r="H21" s="124" t="n"/>
    </row>
    <row r="22" hidden="1" ht="24.75" customHeight="1" s="119">
      <c r="B22" s="81">
        <f>ROW()-14</f>
        <v/>
      </c>
      <c r="C22" s="88">
        <f>기계!#REF!</f>
        <v/>
      </c>
      <c r="D22" s="126" t="n"/>
      <c r="E22" s="88">
        <f>기계!#REF!</f>
        <v/>
      </c>
      <c r="F22" s="126" t="n"/>
      <c r="G22" s="125">
        <f>기계!#REF!</f>
        <v/>
      </c>
      <c r="H22" s="124" t="n"/>
    </row>
    <row r="23" hidden="1" ht="24.75" customHeight="1" s="119">
      <c r="B23" s="81">
        <f>ROW()-14</f>
        <v/>
      </c>
      <c r="C23" s="88">
        <f>기계!#REF!</f>
        <v/>
      </c>
      <c r="D23" s="126" t="n"/>
      <c r="E23" s="88">
        <f>기계!#REF!</f>
        <v/>
      </c>
      <c r="F23" s="126" t="n"/>
      <c r="G23" s="125">
        <f>기계!#REF!</f>
        <v/>
      </c>
      <c r="H23" s="124" t="n"/>
    </row>
    <row r="24" hidden="1" ht="24.75" customHeight="1" s="119">
      <c r="B24" s="81">
        <f>ROW()-14</f>
        <v/>
      </c>
      <c r="C24" s="88">
        <f>기계!#REF!</f>
        <v/>
      </c>
      <c r="D24" s="126" t="n"/>
      <c r="E24" s="88">
        <f>기계!#REF!</f>
        <v/>
      </c>
      <c r="F24" s="126" t="n"/>
      <c r="G24" s="125">
        <f>기계!#REF!</f>
        <v/>
      </c>
      <c r="H24" s="124" t="n"/>
    </row>
    <row r="25" hidden="1" ht="24.75" customHeight="1" s="119">
      <c r="B25" s="81">
        <f>ROW()-14</f>
        <v/>
      </c>
      <c r="C25" s="88">
        <f>기계!#REF!</f>
        <v/>
      </c>
      <c r="D25" s="126" t="n"/>
      <c r="E25" s="88">
        <f>기계!#REF!</f>
        <v/>
      </c>
      <c r="F25" s="126" t="n"/>
      <c r="G25" s="125">
        <f>기계!#REF!</f>
        <v/>
      </c>
      <c r="H25" s="124" t="n"/>
    </row>
    <row r="26" hidden="1" ht="24.75" customHeight="1" s="119">
      <c r="B26" s="81">
        <f>ROW()-14</f>
        <v/>
      </c>
      <c r="C26" s="88">
        <f>기계!#REF!</f>
        <v/>
      </c>
      <c r="D26" s="126" t="n"/>
      <c r="E26" s="88">
        <f>기계!#REF!</f>
        <v/>
      </c>
      <c r="F26" s="126" t="n"/>
      <c r="G26" s="125">
        <f>기계!#REF!</f>
        <v/>
      </c>
      <c r="H26" s="124" t="n"/>
    </row>
    <row r="27" hidden="1" ht="24.75" customHeight="1" s="119">
      <c r="B27" s="81">
        <f>ROW()-14</f>
        <v/>
      </c>
      <c r="C27" s="88">
        <f>기계!#REF!</f>
        <v/>
      </c>
      <c r="D27" s="126" t="n"/>
      <c r="E27" s="88">
        <f>기계!#REF!</f>
        <v/>
      </c>
      <c r="F27" s="126" t="n"/>
      <c r="G27" s="125">
        <f>기계!#REF!</f>
        <v/>
      </c>
      <c r="H27" s="124" t="n"/>
    </row>
    <row r="28" hidden="1" ht="24.75" customHeight="1" s="119">
      <c r="B28" s="81">
        <f>ROW()-14</f>
        <v/>
      </c>
      <c r="C28" s="88">
        <f>기계!#REF!</f>
        <v/>
      </c>
      <c r="D28" s="126" t="n"/>
      <c r="E28" s="88">
        <f>기계!#REF!</f>
        <v/>
      </c>
      <c r="F28" s="126" t="n"/>
      <c r="G28" s="125">
        <f>기계!#REF!</f>
        <v/>
      </c>
      <c r="H28" s="124" t="n"/>
    </row>
    <row r="29" hidden="1" ht="24.75" customHeight="1" s="119">
      <c r="B29" s="81">
        <f>ROW()-14</f>
        <v/>
      </c>
      <c r="C29" s="88">
        <f>기계!#REF!</f>
        <v/>
      </c>
      <c r="D29" s="126" t="n"/>
      <c r="E29" s="88">
        <f>기계!#REF!</f>
        <v/>
      </c>
      <c r="F29" s="126" t="n"/>
      <c r="G29" s="125">
        <f>기계!#REF!</f>
        <v/>
      </c>
      <c r="H29" s="124" t="n"/>
    </row>
    <row r="30" hidden="1" ht="24.75" customHeight="1" s="119">
      <c r="B30" s="81">
        <f>ROW()-14</f>
        <v/>
      </c>
      <c r="C30" s="88">
        <f>기계!#REF!</f>
        <v/>
      </c>
      <c r="D30" s="126" t="n"/>
      <c r="E30" s="88">
        <f>기계!#REF!</f>
        <v/>
      </c>
      <c r="F30" s="126" t="n"/>
      <c r="G30" s="125">
        <f>기계!#REF!</f>
        <v/>
      </c>
      <c r="H30" s="124" t="n"/>
    </row>
    <row r="31" hidden="1" ht="24.75" customHeight="1" s="119">
      <c r="B31" s="81">
        <f>ROW()-14</f>
        <v/>
      </c>
      <c r="C31" s="88">
        <f>기계!#REF!</f>
        <v/>
      </c>
      <c r="D31" s="126" t="n"/>
      <c r="E31" s="88">
        <f>기계!#REF!</f>
        <v/>
      </c>
      <c r="F31" s="126" t="n"/>
      <c r="G31" s="125">
        <f>기계!#REF!</f>
        <v/>
      </c>
      <c r="H31" s="124" t="n"/>
    </row>
    <row r="32" hidden="1" ht="24.75" customHeight="1" s="119">
      <c r="B32" s="81">
        <f>ROW()-14</f>
        <v/>
      </c>
      <c r="C32" s="88">
        <f>기계!#REF!</f>
        <v/>
      </c>
      <c r="D32" s="126" t="n"/>
      <c r="E32" s="88">
        <f>기계!#REF!</f>
        <v/>
      </c>
      <c r="F32" s="126" t="n"/>
      <c r="G32" s="125">
        <f>기계!#REF!</f>
        <v/>
      </c>
      <c r="H32" s="124" t="n"/>
    </row>
    <row r="33" hidden="1" ht="24.75" customHeight="1" s="119">
      <c r="B33" s="81">
        <f>ROW()-14</f>
        <v/>
      </c>
      <c r="C33" s="88">
        <f>기계!#REF!</f>
        <v/>
      </c>
      <c r="D33" s="126" t="n"/>
      <c r="E33" s="88">
        <f>기계!#REF!</f>
        <v/>
      </c>
      <c r="F33" s="126" t="n"/>
      <c r="G33" s="125">
        <f>기계!#REF!</f>
        <v/>
      </c>
      <c r="H33" s="124" t="n"/>
    </row>
    <row r="34" hidden="1" ht="24.75" customHeight="1" s="119">
      <c r="B34" s="81">
        <f>ROW()-14</f>
        <v/>
      </c>
      <c r="C34" s="88">
        <f>기계!#REF!</f>
        <v/>
      </c>
      <c r="D34" s="126" t="n"/>
      <c r="E34" s="88">
        <f>기계!#REF!</f>
        <v/>
      </c>
      <c r="F34" s="126" t="n"/>
      <c r="G34" s="125">
        <f>기계!#REF!</f>
        <v/>
      </c>
      <c r="H34" s="124" t="n"/>
    </row>
    <row r="35" hidden="1" ht="24.75" customHeight="1" s="119">
      <c r="B35" s="81">
        <f>ROW()-14</f>
        <v/>
      </c>
      <c r="C35" s="88">
        <f>기계!#REF!</f>
        <v/>
      </c>
      <c r="D35" s="126" t="n"/>
      <c r="E35" s="88">
        <f>기계!#REF!</f>
        <v/>
      </c>
      <c r="F35" s="126" t="n"/>
      <c r="G35" s="125">
        <f>기계!#REF!</f>
        <v/>
      </c>
      <c r="H35" s="124" t="n"/>
    </row>
    <row r="36" hidden="1" ht="24.75" customHeight="1" s="119">
      <c r="B36" s="81">
        <f>ROW()-14</f>
        <v/>
      </c>
      <c r="C36" s="88">
        <f>기계!#REF!</f>
        <v/>
      </c>
      <c r="D36" s="126" t="n"/>
      <c r="E36" s="88">
        <f>기계!#REF!</f>
        <v/>
      </c>
      <c r="F36" s="126" t="n"/>
      <c r="G36" s="125">
        <f>기계!#REF!</f>
        <v/>
      </c>
      <c r="H36" s="124" t="n"/>
    </row>
    <row r="37" hidden="1" ht="24.75" customHeight="1" s="119">
      <c r="B37" s="81">
        <f>ROW()-14</f>
        <v/>
      </c>
      <c r="C37" s="88">
        <f>기계!#REF!</f>
        <v/>
      </c>
      <c r="D37" s="126" t="n"/>
      <c r="E37" s="88">
        <f>기계!#REF!</f>
        <v/>
      </c>
      <c r="F37" s="126" t="n"/>
      <c r="G37" s="125">
        <f>기계!#REF!</f>
        <v/>
      </c>
      <c r="H37" s="124" t="n"/>
    </row>
    <row r="38" hidden="1" ht="24.75" customHeight="1" s="119">
      <c r="B38" s="81">
        <f>ROW()-14</f>
        <v/>
      </c>
      <c r="C38" s="88">
        <f>기계!#REF!</f>
        <v/>
      </c>
      <c r="D38" s="126" t="n"/>
      <c r="E38" s="88">
        <f>기계!#REF!</f>
        <v/>
      </c>
      <c r="F38" s="126" t="n"/>
      <c r="G38" s="125">
        <f>기계!#REF!</f>
        <v/>
      </c>
      <c r="H38" s="124" t="n"/>
    </row>
    <row r="39" hidden="1" ht="24.75" customHeight="1" s="119">
      <c r="B39" s="81">
        <f>ROW()-14</f>
        <v/>
      </c>
      <c r="C39" s="88">
        <f>기계!#REF!</f>
        <v/>
      </c>
      <c r="D39" s="126" t="n"/>
      <c r="E39" s="88">
        <f>기계!#REF!</f>
        <v/>
      </c>
      <c r="F39" s="126" t="n"/>
      <c r="G39" s="125">
        <f>기계!#REF!</f>
        <v/>
      </c>
      <c r="H39" s="124" t="n"/>
    </row>
    <row r="40" hidden="1" ht="24.75" customHeight="1" s="119">
      <c r="B40" s="81">
        <f>ROW()-14</f>
        <v/>
      </c>
      <c r="C40" s="88">
        <f>기계!#REF!</f>
        <v/>
      </c>
      <c r="D40" s="126" t="n"/>
      <c r="E40" s="88">
        <f>기계!#REF!</f>
        <v/>
      </c>
      <c r="F40" s="126" t="n"/>
      <c r="G40" s="125">
        <f>기계!#REF!</f>
        <v/>
      </c>
      <c r="H40" s="124" t="n"/>
    </row>
    <row r="41" hidden="1" ht="24.75" customHeight="1" s="119">
      <c r="B41" s="81">
        <f>ROW()-14</f>
        <v/>
      </c>
      <c r="C41" s="88">
        <f>기계!#REF!</f>
        <v/>
      </c>
      <c r="D41" s="126" t="n"/>
      <c r="E41" s="88">
        <f>기계!#REF!</f>
        <v/>
      </c>
      <c r="F41" s="126" t="n"/>
      <c r="G41" s="125">
        <f>기계!#REF!</f>
        <v/>
      </c>
      <c r="H41" s="124" t="n"/>
    </row>
    <row r="42" hidden="1" ht="24.75" customHeight="1" s="119">
      <c r="B42" s="81">
        <f>ROW()-14</f>
        <v/>
      </c>
      <c r="C42" s="88">
        <f>기계!#REF!</f>
        <v/>
      </c>
      <c r="D42" s="126" t="n"/>
      <c r="E42" s="88">
        <f>기계!#REF!</f>
        <v/>
      </c>
      <c r="F42" s="126" t="n"/>
      <c r="G42" s="125">
        <f>기계!#REF!</f>
        <v/>
      </c>
      <c r="H42" s="124" t="n"/>
    </row>
    <row r="43" hidden="1" ht="24.75" customHeight="1" s="119">
      <c r="B43" s="81">
        <f>ROW()-14</f>
        <v/>
      </c>
      <c r="C43" s="88">
        <f>기계!#REF!</f>
        <v/>
      </c>
      <c r="D43" s="126" t="n"/>
      <c r="E43" s="88">
        <f>기계!#REF!</f>
        <v/>
      </c>
      <c r="F43" s="126" t="n"/>
      <c r="G43" s="125">
        <f>기계!#REF!</f>
        <v/>
      </c>
      <c r="H43" s="124" t="n"/>
    </row>
    <row r="44" hidden="1" ht="24.75" customHeight="1" s="119">
      <c r="B44" s="81">
        <f>ROW()-14</f>
        <v/>
      </c>
      <c r="C44" s="88">
        <f>기계!#REF!</f>
        <v/>
      </c>
      <c r="D44" s="126" t="n"/>
      <c r="E44" s="88">
        <f>기계!#REF!</f>
        <v/>
      </c>
      <c r="F44" s="126" t="n"/>
      <c r="G44" s="125">
        <f>기계!#REF!</f>
        <v/>
      </c>
      <c r="H44" s="124" t="n"/>
    </row>
    <row r="45" hidden="1" ht="24.75" customHeight="1" s="119">
      <c r="B45" s="81">
        <f>ROW()-14</f>
        <v/>
      </c>
      <c r="C45" s="88">
        <f>기계!#REF!</f>
        <v/>
      </c>
      <c r="D45" s="126" t="n"/>
      <c r="E45" s="88">
        <f>기계!#REF!</f>
        <v/>
      </c>
      <c r="F45" s="126" t="n"/>
      <c r="G45" s="125">
        <f>기계!#REF!</f>
        <v/>
      </c>
      <c r="H45" s="124" t="n"/>
    </row>
    <row r="46" hidden="1" ht="24.75" customHeight="1" s="119">
      <c r="B46" s="81">
        <f>ROW()-14</f>
        <v/>
      </c>
      <c r="C46" s="88">
        <f>기계!#REF!</f>
        <v/>
      </c>
      <c r="D46" s="126" t="n"/>
      <c r="E46" s="88">
        <f>기계!#REF!</f>
        <v/>
      </c>
      <c r="F46" s="126" t="n"/>
      <c r="G46" s="125">
        <f>기계!#REF!</f>
        <v/>
      </c>
      <c r="H46" s="124" t="n"/>
    </row>
    <row r="47" hidden="1" ht="24.75" customHeight="1" s="119">
      <c r="B47" s="81">
        <f>ROW()-14</f>
        <v/>
      </c>
      <c r="C47" s="88">
        <f>기계!#REF!</f>
        <v/>
      </c>
      <c r="D47" s="126" t="n"/>
      <c r="E47" s="88">
        <f>기계!#REF!</f>
        <v/>
      </c>
      <c r="F47" s="126" t="n"/>
      <c r="G47" s="125">
        <f>기계!#REF!</f>
        <v/>
      </c>
      <c r="H47" s="124" t="n"/>
    </row>
    <row r="48" hidden="1" ht="24.75" customHeight="1" s="119">
      <c r="B48" s="81">
        <f>ROW()-14</f>
        <v/>
      </c>
      <c r="C48" s="88">
        <f>기계!#REF!</f>
        <v/>
      </c>
      <c r="D48" s="126" t="n"/>
      <c r="E48" s="88">
        <f>기계!#REF!</f>
        <v/>
      </c>
      <c r="F48" s="126" t="n"/>
      <c r="G48" s="125">
        <f>기계!#REF!</f>
        <v/>
      </c>
      <c r="H48" s="124" t="n"/>
    </row>
    <row r="49" hidden="1" ht="24.75" customHeight="1" s="119">
      <c r="B49" s="81">
        <f>ROW()-14</f>
        <v/>
      </c>
      <c r="C49" s="88">
        <f>기계!#REF!</f>
        <v/>
      </c>
      <c r="D49" s="126" t="n"/>
      <c r="E49" s="88">
        <f>기계!#REF!</f>
        <v/>
      </c>
      <c r="F49" s="126" t="n"/>
      <c r="G49" s="125">
        <f>기계!#REF!</f>
        <v/>
      </c>
      <c r="H49" s="124" t="n"/>
    </row>
    <row r="50" hidden="1" ht="24.75" customHeight="1" s="119">
      <c r="B50" s="81">
        <f>ROW()-14</f>
        <v/>
      </c>
      <c r="C50" s="88">
        <f>기계!#REF!</f>
        <v/>
      </c>
      <c r="D50" s="126" t="n"/>
      <c r="E50" s="88">
        <f>기계!#REF!</f>
        <v/>
      </c>
      <c r="F50" s="126" t="n"/>
      <c r="G50" s="125">
        <f>기계!#REF!</f>
        <v/>
      </c>
      <c r="H50" s="124" t="n"/>
    </row>
    <row r="51" hidden="1" ht="24.75" customHeight="1" s="119">
      <c r="B51" s="81">
        <f>ROW()-14</f>
        <v/>
      </c>
      <c r="C51" s="88">
        <f>기계!#REF!</f>
        <v/>
      </c>
      <c r="D51" s="126" t="n"/>
      <c r="E51" s="88">
        <f>기계!#REF!</f>
        <v/>
      </c>
      <c r="F51" s="126" t="n"/>
      <c r="G51" s="125">
        <f>기계!#REF!</f>
        <v/>
      </c>
      <c r="H51" s="124" t="n"/>
    </row>
    <row r="52" hidden="1" ht="24.75" customHeight="1" s="119">
      <c r="B52" s="81">
        <f>ROW()-14</f>
        <v/>
      </c>
      <c r="C52" s="88">
        <f>기계!#REF!</f>
        <v/>
      </c>
      <c r="D52" s="126" t="n"/>
      <c r="E52" s="88">
        <f>기계!#REF!</f>
        <v/>
      </c>
      <c r="F52" s="126" t="n"/>
      <c r="G52" s="125">
        <f>기계!#REF!</f>
        <v/>
      </c>
      <c r="H52" s="124" t="n"/>
    </row>
    <row r="53" hidden="1" ht="24.75" customHeight="1" s="119">
      <c r="B53" s="81">
        <f>ROW()-14</f>
        <v/>
      </c>
      <c r="C53" s="88">
        <f>기계!#REF!</f>
        <v/>
      </c>
      <c r="D53" s="126" t="n"/>
      <c r="E53" s="88">
        <f>기계!#REF!</f>
        <v/>
      </c>
      <c r="F53" s="126" t="n"/>
      <c r="G53" s="125">
        <f>기계!#REF!</f>
        <v/>
      </c>
      <c r="H53" s="124" t="n"/>
    </row>
    <row r="54" hidden="1" ht="24.75" customHeight="1" s="119">
      <c r="B54" s="81">
        <f>ROW()-14</f>
        <v/>
      </c>
      <c r="C54" s="88">
        <f>기계!#REF!</f>
        <v/>
      </c>
      <c r="D54" s="126" t="n"/>
      <c r="E54" s="88">
        <f>기계!#REF!</f>
        <v/>
      </c>
      <c r="F54" s="126" t="n"/>
      <c r="G54" s="125">
        <f>기계!#REF!</f>
        <v/>
      </c>
      <c r="H54" s="124" t="n"/>
    </row>
    <row r="55" hidden="1" ht="24.75" customHeight="1" s="119">
      <c r="B55" s="81">
        <f>ROW()-14</f>
        <v/>
      </c>
      <c r="C55" s="88">
        <f>기계!#REF!</f>
        <v/>
      </c>
      <c r="D55" s="126" t="n"/>
      <c r="E55" s="88">
        <f>기계!#REF!</f>
        <v/>
      </c>
      <c r="F55" s="126" t="n"/>
      <c r="G55" s="125">
        <f>기계!#REF!</f>
        <v/>
      </c>
      <c r="H55" s="124" t="n"/>
    </row>
    <row r="56" hidden="1" ht="24.75" customHeight="1" s="119">
      <c r="B56" s="82">
        <f>ROW()-14</f>
        <v/>
      </c>
      <c r="C56" s="100">
        <f>기계!#REF!</f>
        <v/>
      </c>
      <c r="D56" s="127" t="n"/>
      <c r="E56" s="100">
        <f>기계!#REF!</f>
        <v/>
      </c>
      <c r="F56" s="127" t="n"/>
      <c r="G56" s="128">
        <f>기계!#REF!</f>
        <v/>
      </c>
      <c r="H56" s="129" t="n"/>
    </row>
    <row r="57" ht="24.75" customHeight="1" s="119" thickBot="1">
      <c r="B57" s="130" t="inlineStr">
        <is>
          <t xml:space="preserve"> 합 계 </t>
        </is>
      </c>
      <c r="C57" s="131" t="n"/>
      <c r="D57" s="132" t="n"/>
      <c r="E57" s="106" t="n"/>
      <c r="F57" s="132" t="n"/>
      <c r="G57" s="133">
        <f>기계!$W17</f>
        <v/>
      </c>
      <c r="H57" s="132" t="n"/>
    </row>
    <row r="58" ht="24.75" customHeight="1" s="119"/>
    <row r="59" ht="24.75" customHeight="1" s="119"/>
    <row r="60" ht="24.75" customHeight="1" s="119"/>
    <row r="61" ht="24.75" customHeight="1" s="119"/>
    <row r="62" ht="24.75" customHeight="1" s="119"/>
    <row r="63" ht="24.75" customHeight="1" s="119"/>
    <row r="64" ht="24.75" customHeight="1" s="119"/>
    <row r="65" ht="24.75" customHeight="1" s="119"/>
    <row r="66" ht="24.75" customHeight="1" s="119"/>
    <row r="67" ht="24.75" customHeight="1" s="119"/>
    <row r="68" ht="24.75" customHeight="1" s="119"/>
    <row r="69" ht="24.75" customHeight="1" s="119"/>
    <row r="70" ht="24.75" customHeight="1" s="119"/>
    <row r="71" ht="24.75" customHeight="1" s="119"/>
    <row r="72" ht="24.75" customHeight="1" s="119"/>
    <row r="73" ht="24.75" customHeight="1" s="119"/>
    <row r="74" ht="24.75" customHeight="1" s="119"/>
    <row r="75" ht="24.75" customHeight="1" s="119"/>
    <row r="76" ht="24.75" customHeight="1" s="119"/>
    <row r="77" ht="24.75" customHeight="1" s="119"/>
    <row r="78" ht="24.75" customHeight="1" s="119"/>
    <row r="79" ht="24.75" customHeight="1" s="119"/>
    <row r="80" ht="24.75" customHeight="1" s="119"/>
    <row r="81" ht="24.75" customHeight="1" s="119"/>
    <row r="82" ht="24.75" customHeight="1" s="119"/>
    <row r="83" ht="24.75" customHeight="1" s="119"/>
    <row r="1048567" ht="13.5" customHeight="1" s="119">
      <c r="C1048567" s="134" t="n"/>
      <c r="D1048567" s="135" t="n"/>
    </row>
  </sheetData>
  <mergeCells count="137">
    <mergeCell ref="G21:H21"/>
    <mergeCell ref="C15:D15"/>
    <mergeCell ref="B57:D57"/>
    <mergeCell ref="E23:F23"/>
    <mergeCell ref="G23:H23"/>
    <mergeCell ref="E51:F51"/>
    <mergeCell ref="C54:D54"/>
    <mergeCell ref="C41:D41"/>
    <mergeCell ref="G57:H57"/>
    <mergeCell ref="C50:D50"/>
    <mergeCell ref="G18:H18"/>
    <mergeCell ref="C56:D56"/>
    <mergeCell ref="E34:F34"/>
    <mergeCell ref="C43:D43"/>
    <mergeCell ref="G34:H34"/>
    <mergeCell ref="C27:D27"/>
    <mergeCell ref="E49:F49"/>
    <mergeCell ref="E27:F27"/>
    <mergeCell ref="C36:D36"/>
    <mergeCell ref="E36:F36"/>
    <mergeCell ref="C17:D17"/>
    <mergeCell ref="G20:H20"/>
    <mergeCell ref="C19:D19"/>
    <mergeCell ref="C28:D28"/>
    <mergeCell ref="E53:F53"/>
    <mergeCell ref="G44:H44"/>
    <mergeCell ref="E22:F22"/>
    <mergeCell ref="F7:H7"/>
    <mergeCell ref="G22:H22"/>
    <mergeCell ref="C30:D30"/>
    <mergeCell ref="E55:F55"/>
    <mergeCell ref="C45:D45"/>
    <mergeCell ref="C14:D14"/>
    <mergeCell ref="E14:F14"/>
    <mergeCell ref="E48:F48"/>
    <mergeCell ref="C1048567:D1048567"/>
    <mergeCell ref="G48:H48"/>
    <mergeCell ref="E38:F38"/>
    <mergeCell ref="C47:D47"/>
    <mergeCell ref="G38:H38"/>
    <mergeCell ref="C40:D40"/>
    <mergeCell ref="E40:F40"/>
    <mergeCell ref="G49:H49"/>
    <mergeCell ref="G24:H24"/>
    <mergeCell ref="G33:H33"/>
    <mergeCell ref="E26:F26"/>
    <mergeCell ref="G26:H26"/>
    <mergeCell ref="G35:H35"/>
    <mergeCell ref="E16:F16"/>
    <mergeCell ref="G16:H16"/>
    <mergeCell ref="E25:F25"/>
    <mergeCell ref="G25:H25"/>
    <mergeCell ref="C18:D18"/>
    <mergeCell ref="C53:D53"/>
    <mergeCell ref="E18:F18"/>
    <mergeCell ref="E50:F50"/>
    <mergeCell ref="C34:D34"/>
    <mergeCell ref="G42:H42"/>
    <mergeCell ref="B6:E6"/>
    <mergeCell ref="E52:F52"/>
    <mergeCell ref="E39:F39"/>
    <mergeCell ref="G39:H39"/>
    <mergeCell ref="E44:F44"/>
    <mergeCell ref="C20:D20"/>
    <mergeCell ref="E20:F20"/>
    <mergeCell ref="C29:D29"/>
    <mergeCell ref="E29:F29"/>
    <mergeCell ref="G37:H37"/>
    <mergeCell ref="B7:E7"/>
    <mergeCell ref="C44:D44"/>
    <mergeCell ref="C22:D22"/>
    <mergeCell ref="C31:D31"/>
    <mergeCell ref="E31:F31"/>
    <mergeCell ref="C46:D46"/>
    <mergeCell ref="C21:D21"/>
    <mergeCell ref="E46:F46"/>
    <mergeCell ref="E15:F15"/>
    <mergeCell ref="C51:D51"/>
    <mergeCell ref="G15:H15"/>
    <mergeCell ref="C48:D48"/>
    <mergeCell ref="C23:D23"/>
    <mergeCell ref="E57:F57"/>
    <mergeCell ref="G51:H51"/>
    <mergeCell ref="C32:D32"/>
    <mergeCell ref="C38:D38"/>
    <mergeCell ref="E54:F54"/>
    <mergeCell ref="E32:F32"/>
    <mergeCell ref="G54:H54"/>
    <mergeCell ref="G32:H32"/>
    <mergeCell ref="E41:F41"/>
    <mergeCell ref="G41:H41"/>
    <mergeCell ref="G50:H50"/>
    <mergeCell ref="E56:F56"/>
    <mergeCell ref="G56:H56"/>
    <mergeCell ref="C49:D49"/>
    <mergeCell ref="E43:F43"/>
    <mergeCell ref="G43:H43"/>
    <mergeCell ref="C24:D24"/>
    <mergeCell ref="G52:H52"/>
    <mergeCell ref="E24:F24"/>
    <mergeCell ref="C33:D33"/>
    <mergeCell ref="E33:F33"/>
    <mergeCell ref="C42:D42"/>
    <mergeCell ref="G27:H27"/>
    <mergeCell ref="E42:F42"/>
    <mergeCell ref="G36:H36"/>
    <mergeCell ref="B5:E5"/>
    <mergeCell ref="E17:F17"/>
    <mergeCell ref="C26:D26"/>
    <mergeCell ref="G17:H17"/>
    <mergeCell ref="C35:D35"/>
    <mergeCell ref="E35:F35"/>
    <mergeCell ref="C16:D16"/>
    <mergeCell ref="C25:D25"/>
    <mergeCell ref="E19:F19"/>
    <mergeCell ref="C55:D55"/>
    <mergeCell ref="G19:H19"/>
    <mergeCell ref="E28:F28"/>
    <mergeCell ref="G53:H53"/>
    <mergeCell ref="G28:H28"/>
    <mergeCell ref="E30:F30"/>
    <mergeCell ref="G30:H30"/>
    <mergeCell ref="E45:F45"/>
    <mergeCell ref="G45:H45"/>
    <mergeCell ref="G14:H14"/>
    <mergeCell ref="C52:D52"/>
    <mergeCell ref="C39:D39"/>
    <mergeCell ref="G55:H55"/>
    <mergeCell ref="G29:H29"/>
    <mergeCell ref="G47:H47"/>
    <mergeCell ref="C37:D37"/>
    <mergeCell ref="E37:F37"/>
    <mergeCell ref="G31:H31"/>
    <mergeCell ref="G46:H46"/>
    <mergeCell ref="G40:H40"/>
    <mergeCell ref="E47:F47"/>
    <mergeCell ref="E21:F21"/>
  </mergeCells>
  <printOptions horizontalCentered="1"/>
  <pageMargins left="0.03937007874015748" right="0.03937007874015748" top="0.7480314960629921" bottom="0.7480314960629921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2"/>
  <sheetViews>
    <sheetView tabSelected="1" topLeftCell="A4" zoomScale="85" zoomScaleNormal="85" workbookViewId="0">
      <pane ySplit="3" topLeftCell="A7" activePane="bottomLeft" state="frozen"/>
      <selection activeCell="A4" sqref="A4"/>
      <selection pane="bottomLeft" activeCell="M16" sqref="M16"/>
    </sheetView>
  </sheetViews>
  <sheetFormatPr baseColWidth="8" defaultRowHeight="12"/>
  <cols>
    <col width="6.25" customWidth="1" style="5" min="1" max="1"/>
    <col width="14.375" bestFit="1" customWidth="1" style="5" min="2" max="2"/>
    <col width="32" customWidth="1" style="5" min="3" max="3"/>
    <col width="25.375" bestFit="1" customWidth="1" style="5" min="4" max="4"/>
    <col width="23.75" bestFit="1" customWidth="1" style="5" min="5" max="5"/>
    <col width="4.5" customWidth="1" style="5" min="6" max="6"/>
    <col width="20.125" bestFit="1" customWidth="1" style="5" min="7" max="7"/>
    <col width="7.75" bestFit="1" customWidth="1" style="136" min="8" max="8"/>
    <col width="9.125" bestFit="1" customWidth="1" style="137" min="9" max="9"/>
    <col width="8.75" bestFit="1" customWidth="1" style="138" min="10" max="10"/>
    <col width="7.75" customWidth="1" style="5" min="11" max="17"/>
    <col width="11.125" customWidth="1" style="5" min="18" max="19"/>
    <col width="13.125" customWidth="1" style="5" min="20" max="20"/>
    <col width="6.25" customWidth="1" style="5" min="21" max="21"/>
    <col width="12" bestFit="1" customWidth="1" style="5" min="22" max="23"/>
    <col width="9" customWidth="1" style="5" min="24" max="16384"/>
  </cols>
  <sheetData>
    <row r="1" ht="17.25" customHeight="1" s="119">
      <c r="A1" s="4" t="inlineStr">
        <is>
          <t xml:space="preserve"> 제목 : 견적 제출 건</t>
        </is>
      </c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</row>
    <row r="2" ht="17.25" customHeight="1" s="119">
      <c r="A2" s="7" t="inlineStr">
        <is>
          <t xml:space="preserve">        아래와 같이  최종견적 선정합니다.</t>
        </is>
      </c>
    </row>
    <row r="3" ht="13.5" customHeight="1" s="119">
      <c r="A3" s="7" t="n"/>
    </row>
    <row r="4" ht="16.5" customHeight="1" s="119">
      <c r="A4" s="8" t="n"/>
      <c r="B4" s="8" t="n"/>
      <c r="C4" s="8" t="n"/>
      <c r="D4" s="8" t="n"/>
      <c r="E4" s="8" t="n"/>
      <c r="F4" s="8" t="n"/>
      <c r="G4" s="8" t="n"/>
      <c r="H4" s="140" t="n"/>
      <c r="I4" s="141" t="n"/>
      <c r="J4" s="142" t="n"/>
    </row>
    <row r="5" ht="13.5" customHeight="1" s="119" thickBot="1">
      <c r="A5" s="9" t="n"/>
      <c r="B5" s="10" t="n"/>
      <c r="C5" s="10" t="n"/>
      <c r="D5" s="10" t="n"/>
      <c r="E5" s="11" t="n"/>
      <c r="F5" s="11" t="n"/>
      <c r="G5" s="11" t="n"/>
      <c r="H5" s="143" t="n"/>
      <c r="I5" s="144" t="n"/>
      <c r="J5" s="145" t="n"/>
      <c r="K5" s="146" t="n">
        <v>70000</v>
      </c>
      <c r="L5" s="146" t="n">
        <v>50000</v>
      </c>
      <c r="M5" s="146" t="n">
        <v>40000</v>
      </c>
      <c r="N5" s="146" t="n">
        <v>35000</v>
      </c>
      <c r="O5" s="146" t="n">
        <v>20000</v>
      </c>
      <c r="P5" s="146" t="n">
        <v>15600</v>
      </c>
      <c r="Q5" s="146" t="n">
        <v>30000</v>
      </c>
      <c r="R5" s="146" t="n">
        <v>35000</v>
      </c>
      <c r="S5" s="146" t="n">
        <v>35000</v>
      </c>
      <c r="T5" s="146" t="n">
        <v>35000</v>
      </c>
    </row>
    <row r="6" ht="24.75" customFormat="1" customHeight="1" s="19">
      <c r="A6" s="49" t="inlineStr">
        <is>
          <t>NO</t>
        </is>
      </c>
      <c r="B6" s="50" t="inlineStr">
        <is>
          <t>품번</t>
        </is>
      </c>
      <c r="C6" s="51" t="inlineStr">
        <is>
          <t>품명</t>
        </is>
      </c>
      <c r="D6" s="51" t="inlineStr">
        <is>
          <t>Coment</t>
        </is>
      </c>
      <c r="E6" s="52" t="inlineStr">
        <is>
          <t>가능여부</t>
        </is>
      </c>
      <c r="F6" s="52" t="inlineStr">
        <is>
          <t>Qty</t>
        </is>
      </c>
      <c r="G6" s="50" t="inlineStr">
        <is>
          <t>Material</t>
        </is>
      </c>
      <c r="H6" s="50" t="inlineStr">
        <is>
          <t>Size</t>
        </is>
      </c>
      <c r="I6" s="147" t="n"/>
      <c r="J6" s="148" t="n"/>
      <c r="K6" s="149" t="inlineStr">
        <is>
          <t>5축 NC</t>
        </is>
      </c>
      <c r="L6" s="149" t="inlineStr">
        <is>
          <t>4축</t>
        </is>
      </c>
      <c r="M6" s="149" t="inlineStr">
        <is>
          <t>3축 NC</t>
        </is>
      </c>
      <c r="N6" s="149" t="inlineStr">
        <is>
          <t>NC 선반</t>
        </is>
      </c>
      <c r="O6" s="149" t="inlineStr">
        <is>
          <t>범용</t>
        </is>
      </c>
      <c r="P6" s="149" t="inlineStr">
        <is>
          <t>사상</t>
        </is>
      </c>
      <c r="Q6" s="149" t="inlineStr">
        <is>
          <t>CMM</t>
        </is>
      </c>
      <c r="R6" s="149" t="inlineStr">
        <is>
          <t>연삭 or 와이어</t>
        </is>
      </c>
      <c r="S6" s="149" t="inlineStr">
        <is>
          <t>치구</t>
        </is>
      </c>
      <c r="T6" s="54" t="inlineStr">
        <is>
          <t>프로그램</t>
        </is>
      </c>
      <c r="U6" s="55" t="inlineStr">
        <is>
          <t>SUM</t>
        </is>
      </c>
      <c r="V6" s="69" t="inlineStr">
        <is>
          <t>단가</t>
        </is>
      </c>
      <c r="W6" s="55" t="inlineStr">
        <is>
          <t>최종단가</t>
        </is>
      </c>
    </row>
    <row r="7" ht="30" customFormat="1" customHeight="1" s="18">
      <c r="A7" s="20">
        <f>ROW()-6</f>
        <v/>
      </c>
      <c r="B7" s="117" t="n">
        <v>82061818</v>
      </c>
      <c r="C7" s="150" t="inlineStr">
        <is>
          <t>몸체 1</t>
        </is>
      </c>
      <c r="D7" s="74" t="inlineStr">
        <is>
          <t>HRc 38-42</t>
        </is>
      </c>
      <c r="E7" s="74" t="n"/>
      <c r="F7" s="21" t="n">
        <v>1</v>
      </c>
      <c r="G7" s="77" t="inlineStr">
        <is>
          <t>SCM 440 KS D 3867</t>
        </is>
      </c>
      <c r="H7" s="151" t="n">
        <v>50</v>
      </c>
      <c r="I7" s="152" t="n">
        <v>135</v>
      </c>
      <c r="J7" s="153" t="n">
        <v>210</v>
      </c>
      <c r="K7" s="154" t="n">
        <v>5</v>
      </c>
      <c r="L7" s="154" t="n"/>
      <c r="M7" s="154" t="n">
        <v>2</v>
      </c>
      <c r="N7" s="154" t="n"/>
      <c r="O7" s="154" t="n">
        <v>0.5</v>
      </c>
      <c r="P7" s="154" t="n">
        <v>0.5</v>
      </c>
      <c r="Q7" s="154" t="n">
        <v>0.5</v>
      </c>
      <c r="R7" s="154" t="n"/>
      <c r="S7" s="154" t="n">
        <v>1</v>
      </c>
      <c r="T7" s="154" t="n">
        <v>0.5</v>
      </c>
      <c r="U7" s="155">
        <f>SUM($K7:$T7)</f>
        <v/>
      </c>
      <c r="V7" s="156">
        <f>(K7*$K$5+L7*$L$5+M7*$M$5+N7*$N$5+O7*$O$5+P7*$P$5+Q7*$Q$5+T7*$T$5+R7*$R$5+$S$5*S7)*$F7</f>
        <v/>
      </c>
      <c r="W7" s="157">
        <f>ROUNDDOWN($V7,-3)</f>
        <v/>
      </c>
    </row>
    <row r="8" ht="30" customFormat="1" customHeight="1" s="18">
      <c r="A8" s="20">
        <f>ROW()-6</f>
        <v/>
      </c>
      <c r="B8" s="117" t="n">
        <v>82061819</v>
      </c>
      <c r="C8" s="150" t="inlineStr">
        <is>
          <t>몸체 2</t>
        </is>
      </c>
      <c r="D8" s="74" t="inlineStr">
        <is>
          <t>HRc 38-42</t>
        </is>
      </c>
      <c r="E8" s="23" t="n"/>
      <c r="F8" s="21" t="n">
        <v>1</v>
      </c>
      <c r="G8" s="77" t="inlineStr">
        <is>
          <t>SCM 440 KS D 3867</t>
        </is>
      </c>
      <c r="H8" s="151" t="n">
        <v>55</v>
      </c>
      <c r="I8" s="152" t="n">
        <v>195</v>
      </c>
      <c r="J8" s="153" t="n">
        <v>300</v>
      </c>
      <c r="K8" s="154" t="n">
        <v>7</v>
      </c>
      <c r="L8" s="154" t="n"/>
      <c r="M8" s="154" t="n">
        <v>2</v>
      </c>
      <c r="N8" s="154" t="n"/>
      <c r="O8" s="154" t="n">
        <v>0.5</v>
      </c>
      <c r="P8" s="154" t="n">
        <v>0.5</v>
      </c>
      <c r="Q8" s="154" t="n">
        <v>0.5</v>
      </c>
      <c r="R8" s="154" t="n"/>
      <c r="S8" s="154" t="n">
        <v>1.5</v>
      </c>
      <c r="T8" s="154" t="n">
        <v>0.5</v>
      </c>
      <c r="U8" s="155">
        <f>SUM($K8:$T8)</f>
        <v/>
      </c>
      <c r="V8" s="156">
        <f>(K8*$K$5+L8*$L$5+M8*$M$5+N8*$N$5+O8*$O$5+P8*$P$5+Q8*$Q$5+T8*$T$5+R8*$R$5+$S$5*S8)*$F8</f>
        <v/>
      </c>
      <c r="W8" s="157">
        <f>ROUNDDOWN($V8,-3)</f>
        <v/>
      </c>
    </row>
    <row r="9" ht="30" customFormat="1" customHeight="1" s="18">
      <c r="A9" s="20">
        <f>ROW()-6</f>
        <v/>
      </c>
      <c r="B9" s="117" t="n">
        <v>82061820</v>
      </c>
      <c r="C9" s="150" t="inlineStr">
        <is>
          <t>몸체 3</t>
        </is>
      </c>
      <c r="D9" s="74" t="inlineStr">
        <is>
          <t>HRc 38-42</t>
        </is>
      </c>
      <c r="E9" s="23" t="n"/>
      <c r="F9" s="21" t="n">
        <v>1</v>
      </c>
      <c r="G9" s="77" t="inlineStr">
        <is>
          <t>SCM 440 KS D 3867</t>
        </is>
      </c>
      <c r="H9" s="151" t="n">
        <v>55</v>
      </c>
      <c r="I9" s="152" t="n">
        <v>195</v>
      </c>
      <c r="J9" s="153" t="n">
        <v>300</v>
      </c>
      <c r="K9" s="154" t="n">
        <v>7</v>
      </c>
      <c r="L9" s="154" t="n"/>
      <c r="M9" s="154" t="n">
        <v>2</v>
      </c>
      <c r="N9" s="154" t="n"/>
      <c r="O9" s="154" t="n">
        <v>0.5</v>
      </c>
      <c r="P9" s="154" t="n">
        <v>0.5</v>
      </c>
      <c r="Q9" s="154" t="n">
        <v>0.5</v>
      </c>
      <c r="R9" s="154" t="n"/>
      <c r="S9" s="154" t="n">
        <v>1.5</v>
      </c>
      <c r="T9" s="154" t="n">
        <v>0.5</v>
      </c>
      <c r="U9" s="155">
        <f>SUM($K9:$T9)</f>
        <v/>
      </c>
      <c r="V9" s="156">
        <f>(K9*$K$5+L9*$L$5+M9*$M$5+N9*$N$5+O9*$O$5+P9*$P$5+Q9*$Q$5+T9*$T$5+R9*$R$5+$S$5*S9)*$F9</f>
        <v/>
      </c>
      <c r="W9" s="157">
        <f>ROUNDDOWN($V9,-3)</f>
        <v/>
      </c>
    </row>
    <row r="10" ht="30" customFormat="1" customHeight="1" s="18">
      <c r="A10" s="20">
        <f>ROW()-6</f>
        <v/>
      </c>
      <c r="B10" s="117" t="n">
        <v>82061814</v>
      </c>
      <c r="C10" s="150" t="inlineStr">
        <is>
          <t>레버 1</t>
        </is>
      </c>
      <c r="D10" s="74" t="inlineStr">
        <is>
          <t>HRc 35-40</t>
        </is>
      </c>
      <c r="E10" s="79" t="inlineStr">
        <is>
          <t>Ø14.05 REAMER
Ø4. F.EM LONG TYPE</t>
        </is>
      </c>
      <c r="F10" s="21" t="n">
        <v>1</v>
      </c>
      <c r="G10" s="74" t="inlineStr">
        <is>
          <t>STS630 KS D 3698</t>
        </is>
      </c>
      <c r="H10" s="151" t="n">
        <v>115</v>
      </c>
      <c r="I10" s="152" t="n"/>
      <c r="J10" s="153" t="n">
        <v>155</v>
      </c>
      <c r="K10" s="154" t="n">
        <v>7</v>
      </c>
      <c r="L10" s="154" t="n"/>
      <c r="M10" s="154" t="n">
        <v>3</v>
      </c>
      <c r="N10" s="154" t="n"/>
      <c r="O10" s="154" t="n">
        <v>0.5</v>
      </c>
      <c r="P10" s="154" t="n">
        <v>0.5</v>
      </c>
      <c r="Q10" s="154" t="n">
        <v>0.5</v>
      </c>
      <c r="R10" s="154" t="n"/>
      <c r="S10" s="154" t="n"/>
      <c r="T10" s="154" t="n">
        <v>0.5</v>
      </c>
      <c r="U10" s="155">
        <f>SUM($K10:$T10)</f>
        <v/>
      </c>
      <c r="V10" s="156">
        <f>(K10*$K$5+L10*$L$5+M10*$M$5+N10*$N$5+O10*$O$5+P10*$P$5+Q10*$Q$5+T10*$T$5+R10*$R$5+$S$5*S10)*$F10</f>
        <v/>
      </c>
      <c r="W10" s="157">
        <f>ROUNDDOWN($V10,-3)</f>
        <v/>
      </c>
    </row>
    <row r="11" ht="30" customFormat="1" customHeight="1" s="18">
      <c r="A11" s="20">
        <f>ROW()-6</f>
        <v/>
      </c>
      <c r="B11" s="117" t="n">
        <v>82061815</v>
      </c>
      <c r="C11" s="150" t="inlineStr">
        <is>
          <t>레버 2</t>
        </is>
      </c>
      <c r="D11" s="74" t="inlineStr">
        <is>
          <t>HRc 35-40</t>
        </is>
      </c>
      <c r="E11" s="79" t="n"/>
      <c r="F11" s="21" t="n">
        <v>1</v>
      </c>
      <c r="G11" s="74" t="inlineStr">
        <is>
          <t>STS630 KS D 3698</t>
        </is>
      </c>
      <c r="H11" s="151" t="n">
        <v>65</v>
      </c>
      <c r="I11" s="152" t="n"/>
      <c r="J11" s="153" t="n">
        <v>145</v>
      </c>
      <c r="K11" s="154" t="n">
        <v>2.5</v>
      </c>
      <c r="L11" s="154" t="n"/>
      <c r="M11" s="154" t="n">
        <v>1.5</v>
      </c>
      <c r="N11" s="154" t="n"/>
      <c r="O11" s="154" t="n">
        <v>0.5</v>
      </c>
      <c r="P11" s="154" t="n">
        <v>0.5</v>
      </c>
      <c r="Q11" s="154" t="n">
        <v>0.5</v>
      </c>
      <c r="R11" s="154" t="n"/>
      <c r="S11" s="154" t="n"/>
      <c r="T11" s="154" t="n">
        <v>0.5</v>
      </c>
      <c r="U11" s="155">
        <f>SUM($K11:$T11)</f>
        <v/>
      </c>
      <c r="V11" s="156">
        <f>(K11*$K$5+L11*$L$5+M11*$M$5+N11*$N$5+O11*$O$5+P11*$P$5+Q11*$Q$5+T11*$T$5+R11*$R$5+$S$5*S11)*$F11</f>
        <v/>
      </c>
      <c r="W11" s="157">
        <f>ROUNDDOWN($V11,-3)</f>
        <v/>
      </c>
    </row>
    <row r="12" ht="30" customFormat="1" customHeight="1" s="18">
      <c r="A12" s="20">
        <f>ROW()-6</f>
        <v/>
      </c>
      <c r="B12" s="117" t="n">
        <v>82061815</v>
      </c>
      <c r="C12" s="150" t="inlineStr">
        <is>
          <t>레버 3</t>
        </is>
      </c>
      <c r="D12" s="74" t="inlineStr">
        <is>
          <t>HRc 35-40</t>
        </is>
      </c>
      <c r="E12" s="23" t="n"/>
      <c r="F12" s="21" t="n">
        <v>1</v>
      </c>
      <c r="G12" s="74" t="inlineStr">
        <is>
          <t>STS630 KS D 3698</t>
        </is>
      </c>
      <c r="H12" s="151" t="n">
        <v>90</v>
      </c>
      <c r="I12" s="152" t="n"/>
      <c r="J12" s="153" t="n">
        <v>25</v>
      </c>
      <c r="K12" s="154" t="n">
        <v>2</v>
      </c>
      <c r="L12" s="154" t="n"/>
      <c r="M12" s="154" t="n">
        <v>0.5</v>
      </c>
      <c r="N12" s="154" t="n"/>
      <c r="O12" s="154" t="n">
        <v>0.5</v>
      </c>
      <c r="P12" s="154" t="n">
        <v>0.5</v>
      </c>
      <c r="Q12" s="154" t="n">
        <v>0.5</v>
      </c>
      <c r="R12" s="154" t="n"/>
      <c r="S12" s="154" t="n"/>
      <c r="T12" s="154" t="n">
        <v>0.5</v>
      </c>
      <c r="U12" s="155">
        <f>SUM($K12:$T12)</f>
        <v/>
      </c>
      <c r="V12" s="156">
        <f>(K12*$K$5+L12*$L$5+M12*$M$5+N12*$N$5+O12*$O$5+P12*$P$5+Q12*$Q$5+T12*$T$5+R12*$R$5+$S$5*S12)*$F12</f>
        <v/>
      </c>
      <c r="W12" s="157">
        <f>ROUNDDOWN($V12,-3)</f>
        <v/>
      </c>
    </row>
    <row r="13" ht="30" customFormat="1" customHeight="1" s="18">
      <c r="A13" s="20">
        <f>ROW()-6</f>
        <v/>
      </c>
      <c r="B13" s="117" t="n"/>
      <c r="C13" s="150" t="n"/>
      <c r="D13" s="74" t="n"/>
      <c r="E13" s="23" t="n"/>
      <c r="F13" s="21" t="n"/>
      <c r="G13" s="77" t="n"/>
      <c r="H13" s="151" t="n"/>
      <c r="I13" s="152" t="n"/>
      <c r="J13" s="153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5">
        <f>SUM($K13:$T13)</f>
        <v/>
      </c>
      <c r="V13" s="156">
        <f>(K13*$K$5+L13*$L$5+M13*$M$5+N13*$N$5+O13*$O$5+P13*$P$5+Q13*$Q$5+T13*$T$5+R13*$R$5+$S$5*S13)*$F13</f>
        <v/>
      </c>
      <c r="W13" s="157">
        <f>ROUNDDOWN($V13,-3)</f>
        <v/>
      </c>
    </row>
    <row r="14" ht="30" customFormat="1" customHeight="1" s="18">
      <c r="A14" s="20">
        <f>ROW()-6</f>
        <v/>
      </c>
      <c r="B14" s="117" t="n"/>
      <c r="C14" s="150" t="n"/>
      <c r="D14" s="74" t="n"/>
      <c r="E14" s="79" t="n"/>
      <c r="F14" s="21" t="n"/>
      <c r="G14" s="77" t="n"/>
      <c r="H14" s="151" t="n"/>
      <c r="I14" s="152" t="n"/>
      <c r="J14" s="153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5">
        <f>SUM($K14:$T14)</f>
        <v/>
      </c>
      <c r="V14" s="156">
        <f>(K14*$K$5+L14*$L$5+M14*$M$5+N14*$N$5+O14*$O$5+P14*$P$5+Q14*$Q$5+T14*$T$5+R14*$R$5+$S$5*S14)*$F14</f>
        <v/>
      </c>
      <c r="W14" s="157">
        <f>ROUNDDOWN($V14,-3)</f>
        <v/>
      </c>
    </row>
    <row r="15" ht="30" customFormat="1" customHeight="1" s="18">
      <c r="A15" s="20">
        <f>ROW()-6</f>
        <v/>
      </c>
      <c r="B15" s="117" t="n"/>
      <c r="C15" s="150" t="n"/>
      <c r="D15" s="74" t="n"/>
      <c r="E15" s="23" t="n"/>
      <c r="F15" s="21" t="n"/>
      <c r="G15" s="77" t="n"/>
      <c r="H15" s="151" t="n"/>
      <c r="I15" s="152" t="n"/>
      <c r="J15" s="153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5">
        <f>SUM($K15:$T15)</f>
        <v/>
      </c>
      <c r="V15" s="156">
        <f>(K15*$K$5+L15*$L$5+M15*$M$5+N15*$N$5+O15*$O$5+P15*$P$5+Q15*$Q$5+T15*$T$5+R15*$R$5+$S$5*S15)*$F15</f>
        <v/>
      </c>
      <c r="W15" s="157">
        <f>ROUNDDOWN($V15,-3)</f>
        <v/>
      </c>
    </row>
    <row r="16" ht="30" customFormat="1" customHeight="1" s="18">
      <c r="A16" s="20">
        <f>ROW()-6</f>
        <v/>
      </c>
      <c r="B16" s="117" t="n"/>
      <c r="C16" s="150" t="n"/>
      <c r="D16" s="74" t="n"/>
      <c r="E16" s="79" t="n"/>
      <c r="F16" s="21" t="n"/>
      <c r="G16" s="77" t="n"/>
      <c r="H16" s="151" t="n"/>
      <c r="I16" s="152" t="n"/>
      <c r="J16" s="153" t="n"/>
      <c r="K16" s="154" t="n"/>
      <c r="L16" s="154" t="n"/>
      <c r="M16" s="154" t="inlineStr">
        <is>
          <t>ㄴ</t>
        </is>
      </c>
      <c r="N16" s="154" t="n"/>
      <c r="O16" s="154" t="n"/>
      <c r="P16" s="154" t="n"/>
      <c r="Q16" s="154" t="n"/>
      <c r="R16" s="154" t="n"/>
      <c r="S16" s="154" t="n"/>
      <c r="T16" s="154" t="n"/>
      <c r="U16" s="155">
        <f>SUM($K16:$T16)</f>
        <v/>
      </c>
      <c r="V16" s="156">
        <f>(K16*$K$5+L16*$L$5+M16*$M$5+N16*$N$5+O16*$O$5+P16*$P$5+Q16*$Q$5+T16*$T$5+R16*$R$5+$S$5*S16)*$F16</f>
        <v/>
      </c>
      <c r="W16" s="157">
        <f>ROUNDDOWN($V16,-3)</f>
        <v/>
      </c>
    </row>
    <row r="17" ht="30" customFormat="1" customHeight="1" s="18" thickBot="1">
      <c r="A17" s="38" t="n"/>
      <c r="B17" s="118" t="n"/>
      <c r="C17" s="118" t="n"/>
      <c r="D17" s="36" t="n"/>
      <c r="E17" s="39" t="n"/>
      <c r="F17" s="39" t="n"/>
      <c r="G17" s="40" t="n"/>
      <c r="H17" s="158" t="n"/>
      <c r="I17" s="159" t="n"/>
      <c r="J17" s="160" t="n"/>
      <c r="K17" s="161" t="n"/>
      <c r="L17" s="161" t="n"/>
      <c r="M17" s="161" t="n"/>
      <c r="N17" s="161" t="n"/>
      <c r="O17" s="161" t="n"/>
      <c r="P17" s="161" t="n"/>
      <c r="Q17" s="161" t="n"/>
      <c r="R17" s="161" t="n"/>
      <c r="S17" s="161" t="n"/>
      <c r="T17" s="161" t="n"/>
      <c r="U17" s="162" t="n"/>
      <c r="V17" s="163" t="inlineStr">
        <is>
          <t>합계</t>
        </is>
      </c>
      <c r="W17" s="164">
        <f>SUM(W7:W16)</f>
        <v/>
      </c>
    </row>
    <row r="18" ht="15.75" customHeight="1" s="119">
      <c r="A18" s="12" t="n"/>
      <c r="B18" s="13" t="n"/>
      <c r="C18" s="13" t="inlineStr"/>
      <c r="D18" s="13" t="n"/>
      <c r="E18" s="13" t="n"/>
      <c r="F18" s="13" t="n"/>
      <c r="G18" s="13" t="n"/>
      <c r="H18" s="165" t="n"/>
      <c r="I18" s="166" t="n"/>
      <c r="J18" s="167" t="n"/>
      <c r="K18" s="168" t="n"/>
      <c r="L18" s="168" t="n"/>
      <c r="M18" s="168" t="n"/>
      <c r="N18" s="168" t="n"/>
      <c r="O18" s="168" t="n"/>
      <c r="P18" s="168" t="inlineStr">
        <is>
          <t>YYYY-MM-DD</t>
        </is>
      </c>
      <c r="Q18" s="168" t="n"/>
      <c r="R18" s="168" t="n"/>
      <c r="S18" s="168" t="n"/>
      <c r="T18" s="168" t="n"/>
      <c r="U18" s="168" t="n"/>
      <c r="V18" s="169" t="n"/>
      <c r="W18" s="169" t="n"/>
    </row>
    <row r="20" ht="26.25" customHeight="1" s="119">
      <c r="P20" s="109" t="inlineStr">
        <is>
          <t>㈜텍스타</t>
        </is>
      </c>
    </row>
    <row r="21" ht="26.25" customHeight="1" s="119">
      <c r="C21" s="114" t="inlineStr">
        <is>
          <t xml:space="preserve">coment : </t>
        </is>
      </c>
      <c r="P21" s="110" t="n">
        <v>46219</v>
      </c>
    </row>
    <row r="22" ht="26.25" customHeight="1" s="119">
      <c r="P22" s="109" t="inlineStr">
        <is>
          <t>생산부장 황 성문</t>
        </is>
      </c>
    </row>
    <row r="30">
      <c r="R30" s="170" t="n"/>
      <c r="S30" s="170" t="n"/>
    </row>
    <row r="42" ht="16.5" customHeight="1" s="119">
      <c r="P42" s="17" t="n"/>
      <c r="W42" s="17" t="n"/>
    </row>
  </sheetData>
  <autoFilter ref="A6:W6">
    <filterColumn colId="7" hiddenButton="0" showButton="0"/>
    <filterColumn colId="8" hiddenButton="0" showButton="0"/>
  </autoFilter>
  <mergeCells count="5">
    <mergeCell ref="P22:W22"/>
    <mergeCell ref="C21:K22"/>
    <mergeCell ref="P20:W20"/>
    <mergeCell ref="P21:W21"/>
    <mergeCell ref="H6:J6"/>
  </mergeCells>
  <conditionalFormatting sqref="B7:B8 B10:B11 B13:B14 B17">
    <cfRule type="duplicateValues" priority="103" dxfId="0"/>
  </conditionalFormatting>
  <conditionalFormatting sqref="B15:B16">
    <cfRule type="duplicateValues" priority="106" dxfId="0"/>
  </conditionalFormatting>
  <conditionalFormatting sqref="C15:C16">
    <cfRule type="duplicateValues" priority="107" dxfId="0"/>
  </conditionalFormatting>
  <conditionalFormatting sqref="C7:C8 C10:C11 C13:C14">
    <cfRule type="duplicateValues" priority="109" dxfId="0"/>
  </conditionalFormatting>
  <conditionalFormatting sqref="B9">
    <cfRule type="duplicateValues" priority="3" dxfId="0"/>
  </conditionalFormatting>
  <conditionalFormatting sqref="C9">
    <cfRule type="duplicateValues" priority="4" dxfId="0"/>
  </conditionalFormatting>
  <conditionalFormatting sqref="B12">
    <cfRule type="duplicateValues" priority="1" dxfId="0"/>
  </conditionalFormatting>
  <conditionalFormatting sqref="C12">
    <cfRule type="duplicateValues" priority="2" dxfId="0"/>
  </conditionalFormatting>
  <pageMargins left="0.1968503937007874" right="0.1968503937007874" top="0.5905511811023623" bottom="0.4330708661417323" header="0.5118110236220472" footer="0.3543307086614174"/>
  <pageSetup orientation="landscape" paperSize="9" scale="48" fitToHeight="0"/>
  <headerFooter alignWithMargins="0">
    <oddHeader>&amp;R&amp;N장 중 &amp;P페이지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윤상민</dc:creator>
  <dcterms:created xsi:type="dcterms:W3CDTF">2019-03-03T23:00:53Z</dcterms:created>
  <dcterms:modified xsi:type="dcterms:W3CDTF">2026-08-02T14:05:34Z</dcterms:modified>
  <cp:lastModifiedBy>T1</cp:lastModifiedBy>
  <cp:lastPrinted>2026-07-16T03:07:43Z</cp:lastPrinted>
</cp:coreProperties>
</file>